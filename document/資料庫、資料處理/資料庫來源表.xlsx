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mc:AlternateContent xmlns:mc="http://schemas.openxmlformats.org/markup-compatibility/2006">
    <mc:Choice Requires="x15">
      <x15ac:absPath xmlns:x15ac="http://schemas.microsoft.com/office/spreadsheetml/2010/11/ac" url="D:\Desktop\獅子\"/>
    </mc:Choice>
  </mc:AlternateContent>
  <xr:revisionPtr revIDLastSave="0" documentId="13_ncr:1_{14452828-B0D4-464C-BC63-4144743D635E}" xr6:coauthVersionLast="47" xr6:coauthVersionMax="47" xr10:uidLastSave="{00000000-0000-0000-0000-000000000000}"/>
  <bookViews>
    <workbookView xWindow="-109" yWindow="-109" windowWidth="26301" windowHeight="14169" activeTab="2" xr2:uid="{00000000-000D-0000-FFFF-FFFF00000000}"/>
  </bookViews>
  <sheets>
    <sheet name="HCM 月子平台 -市府" sheetId="1" r:id="rId1"/>
    <sheet name="服務人員" sheetId="3" r:id="rId2"/>
    <sheet name="保險表" sheetId="4" r:id="rId3"/>
    <sheet name="beclas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G2" i="3" l="1"/>
  <c r="C2" i="3"/>
  <c r="J2" i="1" l="1"/>
  <c r="A2" i="1"/>
</calcChain>
</file>

<file path=xl/sharedStrings.xml><?xml version="1.0" encoding="utf-8"?>
<sst xmlns="http://schemas.openxmlformats.org/spreadsheetml/2006/main" count="304" uniqueCount="212">
  <si>
    <r>
      <rPr>
        <sz val="12"/>
        <color theme="1"/>
        <rFont val="新細明體"/>
        <family val="1"/>
        <charset val="136"/>
      </rPr>
      <t>項次</t>
    </r>
  </si>
  <si>
    <t>案件狀態</t>
  </si>
  <si>
    <t>不符合原因</t>
  </si>
  <si>
    <r>
      <rPr>
        <sz val="12"/>
        <color theme="1"/>
        <rFont val="新細明體"/>
        <family val="1"/>
        <charset val="136"/>
      </rPr>
      <t>查詢序號</t>
    </r>
    <r>
      <rPr>
        <sz val="12"/>
        <color theme="1"/>
        <rFont val="Calibri"/>
        <family val="2"/>
      </rPr>
      <t>(</t>
    </r>
    <r>
      <rPr>
        <sz val="12"/>
        <color theme="1"/>
        <rFont val="新細明體"/>
        <family val="1"/>
        <charset val="136"/>
      </rPr>
      <t>案件編號</t>
    </r>
    <r>
      <rPr>
        <sz val="12"/>
        <color theme="1"/>
        <rFont val="Calibri"/>
        <family val="2"/>
      </rPr>
      <t>)</t>
    </r>
  </si>
  <si>
    <r>
      <rPr>
        <sz val="12"/>
        <color theme="1"/>
        <rFont val="新細明體"/>
        <family val="1"/>
        <charset val="136"/>
      </rPr>
      <t>報名時間</t>
    </r>
    <r>
      <rPr>
        <sz val="12"/>
        <color theme="1"/>
        <rFont val="Calibri"/>
        <family val="2"/>
      </rPr>
      <t>(</t>
    </r>
    <r>
      <rPr>
        <sz val="12"/>
        <color theme="1"/>
        <rFont val="新細明體"/>
        <family val="1"/>
        <charset val="136"/>
      </rPr>
      <t>建檔</t>
    </r>
    <r>
      <rPr>
        <sz val="12"/>
        <color theme="1"/>
        <rFont val="Calibri"/>
        <family val="2"/>
      </rPr>
      <t>)</t>
    </r>
  </si>
  <si>
    <r>
      <rPr>
        <sz val="12"/>
        <color theme="1"/>
        <rFont val="Calibri"/>
        <family val="2"/>
      </rPr>
      <t>IP</t>
    </r>
    <r>
      <rPr>
        <sz val="12"/>
        <color theme="1"/>
        <rFont val="新細明體"/>
        <family val="1"/>
        <charset val="136"/>
      </rPr>
      <t>位址</t>
    </r>
  </si>
  <si>
    <r>
      <rPr>
        <sz val="12"/>
        <color theme="1"/>
        <rFont val="新細明體"/>
        <family val="1"/>
        <charset val="136"/>
      </rPr>
      <t>姓名</t>
    </r>
  </si>
  <si>
    <r>
      <rPr>
        <sz val="12"/>
        <color theme="1"/>
        <rFont val="新細明體"/>
        <family val="1"/>
        <charset val="136"/>
      </rPr>
      <t>性別</t>
    </r>
  </si>
  <si>
    <r>
      <rPr>
        <sz val="12"/>
        <color theme="1"/>
        <rFont val="新細明體"/>
        <family val="1"/>
        <charset val="136"/>
      </rPr>
      <t>行動電話</t>
    </r>
  </si>
  <si>
    <r>
      <rPr>
        <sz val="12"/>
        <color theme="1"/>
        <rFont val="新細明體"/>
        <family val="1"/>
        <charset val="136"/>
      </rPr>
      <t>縣市</t>
    </r>
  </si>
  <si>
    <r>
      <rPr>
        <sz val="12"/>
        <color theme="1"/>
        <rFont val="新細明體"/>
        <family val="1"/>
        <charset val="136"/>
      </rPr>
      <t>地址</t>
    </r>
  </si>
  <si>
    <t>身分資格</t>
  </si>
  <si>
    <r>
      <rPr>
        <sz val="12"/>
        <color theme="1"/>
        <rFont val="新細明體"/>
        <family val="1"/>
        <charset val="136"/>
      </rPr>
      <t>服務時間</t>
    </r>
  </si>
  <si>
    <r>
      <rPr>
        <sz val="12"/>
        <color theme="1"/>
        <rFont val="新細明體"/>
        <family val="1"/>
        <charset val="136"/>
      </rPr>
      <t>預產期</t>
    </r>
    <r>
      <rPr>
        <sz val="12"/>
        <color theme="1"/>
        <rFont val="Calibri"/>
        <family val="2"/>
      </rPr>
      <t>/</t>
    </r>
    <r>
      <rPr>
        <sz val="12"/>
        <color theme="1"/>
        <rFont val="新細明體"/>
        <family val="1"/>
        <charset val="136"/>
      </rPr>
      <t>預計服務開始月份</t>
    </r>
  </si>
  <si>
    <r>
      <rPr>
        <sz val="12"/>
        <color theme="1"/>
        <rFont val="新細明體"/>
        <family val="1"/>
        <charset val="136"/>
      </rPr>
      <t>預計服務日期</t>
    </r>
  </si>
  <si>
    <r>
      <rPr>
        <sz val="9"/>
        <color theme="1"/>
        <rFont val="新細明體"/>
        <family val="1"/>
        <charset val="136"/>
      </rPr>
      <t>其他事項</t>
    </r>
  </si>
  <si>
    <r>
      <rPr>
        <sz val="12"/>
        <color theme="1"/>
        <rFont val="新細明體"/>
        <family val="1"/>
        <charset val="136"/>
      </rPr>
      <t>生產方式</t>
    </r>
  </si>
  <si>
    <t>LINE ID</t>
  </si>
  <si>
    <r>
      <rPr>
        <sz val="12"/>
        <color theme="1"/>
        <rFont val="新細明體"/>
        <family val="1"/>
        <charset val="136"/>
      </rPr>
      <t>管理者註記事項</t>
    </r>
  </si>
  <si>
    <t>項次</t>
  </si>
  <si>
    <t>查詢序號</t>
  </si>
  <si>
    <t>報名時間</t>
  </si>
  <si>
    <t>姓名</t>
  </si>
  <si>
    <t>出生年</t>
  </si>
  <si>
    <t>月</t>
  </si>
  <si>
    <t>日</t>
  </si>
  <si>
    <t>行動電話</t>
  </si>
  <si>
    <t>市話</t>
  </si>
  <si>
    <t>分機</t>
  </si>
  <si>
    <t>縣市</t>
  </si>
  <si>
    <t>郵遞區號</t>
  </si>
  <si>
    <t>地址</t>
  </si>
  <si>
    <t>月子餐點調理喜好/飲食習慣：</t>
  </si>
  <si>
    <t>葷食</t>
  </si>
  <si>
    <t>素食</t>
  </si>
  <si>
    <t>可以接受中藥補品：□茶飲 □藥飲 □藥膳</t>
  </si>
  <si>
    <t>無法接受中藥補品</t>
  </si>
  <si>
    <t>[其它]</t>
  </si>
  <si>
    <t>呈上題，若遇無法媒合到葷食服務人員時，是否可以接受蛋奶素服務人員？</t>
  </si>
  <si>
    <t>2．餐飲含酒比例：</t>
  </si>
  <si>
    <t>全酒</t>
  </si>
  <si>
    <t>半酒</t>
  </si>
  <si>
    <t>米酒水</t>
  </si>
  <si>
    <t>無酒料理</t>
  </si>
  <si>
    <t>3．料理用油：(可接受種類)</t>
  </si>
  <si>
    <t>□苦茶油(前兩週)</t>
  </si>
  <si>
    <t>□麻油(後兩週)</t>
  </si>
  <si>
    <t>□橄欖油</t>
  </si>
  <si>
    <t>□一般食用油</t>
  </si>
  <si>
    <t>5媽咪有無過敏體質：</t>
  </si>
  <si>
    <t>特殊照護時應注意事項：</t>
  </si>
  <si>
    <t>餐點喜忌備註：</t>
  </si>
  <si>
    <t>烹煮工具</t>
  </si>
  <si>
    <t>□炒菜鍋</t>
  </si>
  <si>
    <t>□鐵鍋</t>
  </si>
  <si>
    <t>□大同電鍋</t>
  </si>
  <si>
    <t>□電子鍋</t>
  </si>
  <si>
    <t>□萬用壓力鍋</t>
  </si>
  <si>
    <t>□燉鍋/砂鍋</t>
  </si>
  <si>
    <t>□果汁機/調理棒</t>
  </si>
  <si>
    <t>□(煮/泡 洗澡大豐草/艾草水) 的鍋或盆</t>
  </si>
  <si>
    <t>□微波爐</t>
  </si>
  <si>
    <t>□烤箱</t>
  </si>
  <si>
    <t>□中藥壺</t>
  </si>
  <si>
    <t>□保溫壺(媽咪飲水)</t>
  </si>
  <si>
    <t>□熱奶器</t>
  </si>
  <si>
    <t>□奶瓶消毒鍋</t>
  </si>
  <si>
    <t>□洗碗機</t>
  </si>
  <si>
    <t>洗澡水準備：</t>
  </si>
  <si>
    <t>□一般熱水</t>
  </si>
  <si>
    <t>□薑水</t>
  </si>
  <si>
    <t>□中藥包</t>
  </si>
  <si>
    <t>哺乳方式：</t>
  </si>
  <si>
    <t>□母乳</t>
  </si>
  <si>
    <t>□配方奶</t>
  </si>
  <si>
    <t>□母乳+配方奶</t>
  </si>
  <si>
    <t>特殊計費:甲方同意需另支付當日薪資1倍予乙方。</t>
  </si>
  <si>
    <t>年節農曆過年初一</t>
  </si>
  <si>
    <t>年節農曆過年初二</t>
  </si>
  <si>
    <t>年節農曆過年初三</t>
  </si>
  <si>
    <t>端午節</t>
  </si>
  <si>
    <t>中秋節</t>
  </si>
  <si>
    <t>特殊計費:胎數</t>
  </si>
  <si>
    <t>透天服務樓層方式(會加收樓層費)</t>
  </si>
  <si>
    <t>大樓公寓無樓層問題</t>
  </si>
  <si>
    <t>提供服務人員轎車停車位</t>
  </si>
  <si>
    <t>有</t>
  </si>
  <si>
    <t>無(願意負擔停車費用)</t>
  </si>
  <si>
    <t>服務時間內是否有其他寶寶</t>
  </si>
  <si>
    <t>管理者註記事項</t>
  </si>
  <si>
    <t>符合</t>
  </si>
  <si>
    <t/>
  </si>
  <si>
    <t>113000012</t>
  </si>
  <si>
    <t>113/09/25 19:05:27</t>
  </si>
  <si>
    <t>女</t>
  </si>
  <si>
    <t>補助市民</t>
  </si>
  <si>
    <t>8:30 - 12:30(4小時)</t>
  </si>
  <si>
    <t>113/10/30</t>
  </si>
  <si>
    <t>113/11/04</t>
  </si>
  <si>
    <t xml:space="preserve">_x000D_
</t>
  </si>
  <si>
    <t>透天</t>
  </si>
  <si>
    <t>自然產</t>
  </si>
  <si>
    <t>周休二日</t>
  </si>
  <si>
    <t>第二胎</t>
  </si>
  <si>
    <t>服務期間:113.10.25~113.12.06 (週休六,日) (8:30~12:304小時)</t>
  </si>
  <si>
    <t>100.100.00.100</t>
    <phoneticPr fontId="4" type="noConversion"/>
  </si>
  <si>
    <t>0900000001</t>
    <phoneticPr fontId="4" type="noConversion"/>
  </si>
  <si>
    <t>新竹市香山區</t>
    <phoneticPr fontId="4" type="noConversion"/>
  </si>
  <si>
    <t>03-12 18:20</t>
  </si>
  <si>
    <t>新竹市</t>
  </si>
  <si>
    <t>葷食、可以接受中藥補品：□茶飲 □藥飲 □藥膳</t>
  </si>
  <si>
    <t>Y</t>
  </si>
  <si>
    <t>無法接受</t>
  </si>
  <si>
    <t>□苦茶油(前兩週)、□麻油(後兩週)、□橄欖油、□一般食用油</t>
  </si>
  <si>
    <t>□無</t>
  </si>
  <si>
    <t>依需求協助</t>
  </si>
  <si>
    <t>口味不想重複</t>
  </si>
  <si>
    <t>□炒菜鍋、□大同電鍋、□微波爐、□烤箱、□熱奶器、□奶瓶消毒鍋</t>
  </si>
  <si>
    <t>[其它]無</t>
  </si>
  <si>
    <t>無</t>
  </si>
  <si>
    <t>1-2歲大寶</t>
  </si>
  <si>
    <t>--</t>
  </si>
  <si>
    <t>HC115011</t>
  </si>
  <si>
    <t>IP位址</t>
  </si>
  <si>
    <t>銀行帳號</t>
  </si>
  <si>
    <t>銀行代3碼+分行代號4碼</t>
  </si>
  <si>
    <t>身分證字號</t>
  </si>
  <si>
    <t>EMAIL</t>
  </si>
  <si>
    <t>若有其它同銀行帳號，請一併提供。(永豐或台新)</t>
  </si>
  <si>
    <t>承上題</t>
  </si>
  <si>
    <t>月子餐點料理</t>
  </si>
  <si>
    <t>可承接案件區域</t>
  </si>
  <si>
    <t>北區</t>
  </si>
  <si>
    <t>東區</t>
  </si>
  <si>
    <t>香山區</t>
  </si>
  <si>
    <t>新竹縣</t>
  </si>
  <si>
    <t>苗栗縣</t>
  </si>
  <si>
    <t>可承接案件時段</t>
  </si>
  <si>
    <t>4小時(上午8:30-12:30)</t>
  </si>
  <si>
    <t>4小時(下午13:00-17:00)</t>
  </si>
  <si>
    <t>8小時</t>
  </si>
  <si>
    <t>24小時</t>
  </si>
  <si>
    <t>可服務週間</t>
  </si>
  <si>
    <t>連續服務</t>
  </si>
  <si>
    <t>週休1日</t>
  </si>
  <si>
    <t>週休2日</t>
  </si>
  <si>
    <t>可承接的胎數</t>
  </si>
  <si>
    <t>單胞胎</t>
  </si>
  <si>
    <t>雙胞胎</t>
  </si>
  <si>
    <t>服務時交通工具</t>
  </si>
  <si>
    <t>機車</t>
  </si>
  <si>
    <t>轎車</t>
  </si>
  <si>
    <t>特殊節日可上班的部分(計費:服務費雙倍)</t>
  </si>
  <si>
    <t>國定假日必休</t>
  </si>
  <si>
    <t>有嬰幼兒按摩證書嗎?</t>
  </si>
  <si>
    <t>民國出生年月日</t>
    <phoneticPr fontId="12" type="noConversion"/>
  </si>
  <si>
    <t>我提供的帳號是永豐銀行帳戶</t>
  </si>
  <si>
    <t>葷食、素食</t>
  </si>
  <si>
    <t>北區、東區、香山區、新竹縣</t>
  </si>
  <si>
    <t>4小時(上午8:30-12:30)、4小時(下午13:00-17:00)、8小時</t>
  </si>
  <si>
    <t>連續服務、週休1日、週休2日</t>
  </si>
  <si>
    <t>單胞胎、雙胞胎</t>
  </si>
  <si>
    <t>機車、轎車</t>
  </si>
  <si>
    <t>年節農曆過年初一、年節農曆過年初二、年節農曆過年初三、端午節、中秋節</t>
  </si>
  <si>
    <t>E013謝英英</t>
    <phoneticPr fontId="4" type="noConversion"/>
  </si>
  <si>
    <t>E013</t>
  </si>
  <si>
    <t>謝英英</t>
  </si>
  <si>
    <t>不用料理/訂月餐</t>
  </si>
  <si>
    <t>服務範圍2層樓(+100/元)每日</t>
  </si>
  <si>
    <t>服務範圍3層樓(+200/元)每日</t>
  </si>
  <si>
    <t>※已確實詳閱退費原則：</t>
  </si>
  <si>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t>
  </si>
  <si>
    <t>補助款退款作業:服務完成後,繳回相關服務日誌由工會協助提出申請, 新竹市政府核發後轉入雇主帳戶</t>
  </si>
  <si>
    <t>我確實了解並願意遵照辦理以上相關規定，說明及退費原則(勾選後等同簽名確認)</t>
  </si>
  <si>
    <t>需自行負擔銀行轉帳手續費</t>
  </si>
  <si>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</si>
  <si>
    <t>10000000</t>
    <phoneticPr fontId="4" type="noConversion"/>
  </si>
  <si>
    <t>服務方式</t>
    <phoneticPr fontId="4" type="noConversion"/>
  </si>
  <si>
    <t>希望服務天數</t>
    <phoneticPr fontId="4" type="noConversion"/>
  </si>
  <si>
    <t>寶寶資訊</t>
    <phoneticPr fontId="4" type="noConversion"/>
  </si>
  <si>
    <t>Email</t>
    <phoneticPr fontId="4" type="noConversion"/>
  </si>
  <si>
    <r>
      <rPr>
        <sz val="11"/>
        <color rgb="FF000000"/>
        <rFont val="微軟正黑體"/>
        <family val="2"/>
        <charset val="136"/>
      </rPr>
      <t>補助款退款</t>
    </r>
    <r>
      <rPr>
        <sz val="11"/>
        <color rgb="FF000000"/>
        <rFont val="Calibri"/>
        <family val="2"/>
      </rPr>
      <t>:</t>
    </r>
    <r>
      <rPr>
        <sz val="11"/>
        <color rgb="FF000000"/>
        <rFont val="微軟正黑體"/>
        <family val="2"/>
        <charset val="136"/>
      </rPr>
      <t>銀行代號</t>
    </r>
    <r>
      <rPr>
        <sz val="11"/>
        <color rgb="FF000000"/>
        <rFont val="Calibri"/>
        <family val="2"/>
      </rPr>
      <t>+</t>
    </r>
    <r>
      <rPr>
        <sz val="11"/>
        <color rgb="FF000000"/>
        <rFont val="微軟正黑體"/>
        <family val="2"/>
        <charset val="136"/>
      </rPr>
      <t>分行代號</t>
    </r>
    <phoneticPr fontId="4" type="noConversion"/>
  </si>
  <si>
    <t>銀行帳號</t>
    <phoneticPr fontId="4" type="noConversion"/>
  </si>
  <si>
    <t>居住型態</t>
    <phoneticPr fontId="4" type="noConversion"/>
  </si>
  <si>
    <t>保單號碼:3200167819</t>
  </si>
  <si>
    <t>證號</t>
  </si>
  <si>
    <t>部門</t>
  </si>
  <si>
    <t>員工代號</t>
  </si>
  <si>
    <t>加保日期</t>
  </si>
  <si>
    <t>性別</t>
  </si>
  <si>
    <t>生日</t>
  </si>
  <si>
    <t>計劃別</t>
  </si>
  <si>
    <t>職別</t>
  </si>
  <si>
    <t>身分別</t>
  </si>
  <si>
    <t>C20     保額</t>
  </si>
  <si>
    <t>H11     保額</t>
  </si>
  <si>
    <t>H50A    保額</t>
  </si>
  <si>
    <t>H50B    保額</t>
  </si>
  <si>
    <t>H50C    保額</t>
  </si>
  <si>
    <t>HA1     保額</t>
  </si>
  <si>
    <t>1</t>
  </si>
  <si>
    <t xml:space="preserve">          </t>
  </si>
  <si>
    <t>115/01/01</t>
  </si>
  <si>
    <t>2</t>
  </si>
  <si>
    <t>089/03/05</t>
  </si>
  <si>
    <t xml:space="preserve">1 </t>
  </si>
  <si>
    <t>員工</t>
  </si>
  <si>
    <t>1,000,000</t>
  </si>
  <si>
    <t>50,000</t>
  </si>
  <si>
    <t>0</t>
  </si>
  <si>
    <t>1,000</t>
  </si>
  <si>
    <t>資料來源(只會顯示被保人，退保後不顯示)</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</si>
</sst>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16">
    <font>
      <sz val="11"/>
      <color theme="1"/>
      <name val="新細明體"/>
      <family val="2"/>
      <scheme val="minor"/>
    </font>
    <font>
      <sz val="12"/>
      <color theme="1"/>
      <name val="新細明體"/>
      <family val="2"/>
      <charset val="136"/>
      <scheme val="minor"/>
    </font>
    <font>
      <sz val="12"/>
      <color theme="1"/>
      <name val="Calibri"/>
      <family val="2"/>
    </font>
    <font>
      <sz val="12"/>
      <color theme="1"/>
      <name val="新細明體"/>
      <family val="1"/>
      <charset val="136"/>
    </font>
    <font>
      <sz val="9"/>
      <name val="新細明體"/>
      <family val="3"/>
      <charset val="136"/>
      <scheme val="minor"/>
    </font>
    <font>
      <sz val="12"/>
      <color theme="1"/>
      <name val="細明體"/>
      <family val="3"/>
      <charset val="136"/>
    </font>
    <font>
      <sz val="9"/>
      <color theme="1"/>
      <name val="Calibri"/>
      <family val="2"/>
    </font>
    <font>
      <sz val="9"/>
      <color theme="1"/>
      <name val="新細明體"/>
      <family val="1"/>
      <charset val="136"/>
    </font>
    <font>
      <sz val="11"/>
      <color rgb="FF000000"/>
      <name val="Calibri"/>
      <family val="2"/>
    </font>
    <font>
      <b/>
      <sz val="11"/>
      <color theme="0"/>
      <name val="Calibri"/>
      <family val="2"/>
    </font>
    <font>
      <sz val="11"/>
      <color rgb="FF000000"/>
      <name val="Microsoft JhengHei"/>
      <family val="2"/>
      <charset val="136"/>
    </font>
    <font>
      <sz val="12"/>
      <color theme="1"/>
      <name val="微軟正黑體"/>
      <family val="2"/>
      <charset val="136"/>
    </font>
    <font>
      <sz val="9"/>
      <name val="細明體"/>
      <family val="3"/>
      <charset val="136"/>
    </font>
    <font>
      <sz val="11"/>
      <color rgb="FF000000"/>
      <name val="Calibri"/>
      <family val="2"/>
    </font>
    <font>
      <sz val="11"/>
      <color rgb="FF000000"/>
      <name val="微軟正黑體"/>
      <family val="2"/>
      <charset val="136"/>
    </font>
    <font>
      <sz val="11"/>
      <color rgb="FF000000"/>
      <name val="Calibri"/>
      <family val="2"/>
      <charset val="136"/>
    </font>
  </fonts>
  <fills count="6">
    <fill>
      <patternFill patternType="none"/>
    </fill>
    <fill>
      <patternFill patternType="gray125"/>
    </fill>
    <fill>
      <patternFill patternType="solid">
        <fgColor rgb="FFFFFF00"/>
        <bgColor indexed="64"/>
      </patternFill>
    </fill>
    <fill>
      <patternFill patternType="solid">
        <fgColor rgb="FFFF99FF"/>
        <bgColor indexed="64"/>
      </patternFill>
    </fill>
    <fill>
      <patternFill patternType="solid">
        <fgColor theme="1"/>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8" fillId="0" borderId="0"/>
    <xf numFmtId="0" fontId="8" fillId="0" borderId="0"/>
    <xf numFmtId="0" fontId="13" fillId="0" borderId="0"/>
    <xf numFmtId="0" fontId="1" fillId="0" borderId="0">
      <alignment vertical="center"/>
    </xf>
  </cellStyleXfs>
  <cellXfs count="26">
    <xf numFmtId="0" fontId="0" fillId="0" borderId="0" xfId="0"/>
    <xf numFmtId="0" fontId="2" fillId="0" borderId="0" xfId="0" applyFont="1" applyAlignment="1">
      <alignment vertical="center"/>
    </xf>
    <xf numFmtId="0" fontId="5" fillId="0" borderId="0" xfId="0" applyFont="1" applyAlignment="1">
      <alignment vertical="center"/>
    </xf>
    <xf numFmtId="0" fontId="2" fillId="2" borderId="0" xfId="0" applyFont="1" applyFill="1" applyAlignment="1">
      <alignment vertical="center"/>
    </xf>
    <xf numFmtId="0" fontId="6" fillId="0" borderId="0" xfId="0" applyFont="1" applyAlignment="1">
      <alignment vertical="center"/>
    </xf>
    <xf numFmtId="0" fontId="3" fillId="0" borderId="0" xfId="0" applyFont="1" applyAlignment="1">
      <alignment vertical="center"/>
    </xf>
    <xf numFmtId="0" fontId="2" fillId="3" borderId="0" xfId="0" applyFont="1" applyFill="1" applyAlignment="1">
      <alignment horizontal="left" vertical="center"/>
    </xf>
    <xf numFmtId="0" fontId="8" fillId="5" borderId="1" xfId="2" applyFill="1" applyBorder="1"/>
    <xf numFmtId="0" fontId="9" fillId="4" borderId="0" xfId="2" applyFont="1" applyFill="1"/>
    <xf numFmtId="49" fontId="2" fillId="0" borderId="0" xfId="0" applyNumberFormat="1" applyFont="1" applyAlignment="1">
      <alignment vertical="center"/>
    </xf>
    <xf numFmtId="0" fontId="11" fillId="0" borderId="0" xfId="0" applyFont="1" applyAlignment="1">
      <alignment vertical="center"/>
    </xf>
    <xf numFmtId="0" fontId="8" fillId="0" borderId="0" xfId="1"/>
    <xf numFmtId="0" fontId="8" fillId="0" borderId="0" xfId="2"/>
    <xf numFmtId="49" fontId="0" fillId="0" borderId="0" xfId="0" applyNumberFormat="1"/>
    <xf numFmtId="49" fontId="0" fillId="0" borderId="0" xfId="0" applyNumberFormat="1" applyAlignment="1">
      <alignment horizontal="left"/>
    </xf>
    <xf numFmtId="0" fontId="0" fillId="0" borderId="0" xfId="0" applyAlignment="1">
      <alignment wrapText="1"/>
    </xf>
    <xf numFmtId="176" fontId="10" fillId="0" borderId="0" xfId="0" applyNumberFormat="1" applyFont="1"/>
    <xf numFmtId="49" fontId="8" fillId="0" borderId="0" xfId="0" applyNumberFormat="1" applyFont="1"/>
    <xf numFmtId="49" fontId="8" fillId="0" borderId="0" xfId="0" applyNumberFormat="1" applyFont="1" applyAlignment="1">
      <alignment horizontal="left"/>
    </xf>
    <xf numFmtId="176" fontId="0" fillId="0" borderId="0" xfId="0" applyNumberFormat="1"/>
    <xf numFmtId="0" fontId="13" fillId="0" borderId="0" xfId="3"/>
    <xf numFmtId="0" fontId="8" fillId="0" borderId="0" xfId="3" applyFont="1"/>
    <xf numFmtId="0" fontId="15" fillId="0" borderId="0" xfId="3" applyFont="1"/>
    <xf numFmtId="0" fontId="14" fillId="0" borderId="0" xfId="3" applyFont="1"/>
    <xf numFmtId="0" fontId="0" fillId="0" borderId="0" xfId="0"/>
    <xf numFmtId="0" fontId="0" fillId="2" borderId="0" xfId="0" applyFill="1"/>
  </cellXfs>
  <cellStyles count="5">
    <cellStyle name="一般" xfId="0" builtinId="0"/>
    <cellStyle name="一般 2" xfId="3" xr:uid="{2B3EF562-0BB7-4F93-B88A-F2E521BB0194}"/>
    <cellStyle name="一般 2 3" xfId="1" xr:uid="{FA96A0BF-2C2F-4725-878B-F9A7B29A23AC}"/>
    <cellStyle name="一般 27" xfId="4" xr:uid="{E13B0E23-C431-41ED-AB8F-5A6F21FEF830}"/>
    <cellStyle name="一般 6" xfId="2" xr:uid="{1B89DF75-45F1-478F-8C2C-16FF7CE73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
  <sheetViews>
    <sheetView workbookViewId="0">
      <selection activeCell="R1" sqref="R1"/>
    </sheetView>
  </sheetViews>
  <sheetFormatPr defaultRowHeight="14.95"/>
  <cols>
    <col min="3" max="3" width="14.5" customWidth="1"/>
    <col min="6" max="6" width="16" customWidth="1"/>
    <col min="9" max="9" width="10.75" bestFit="1" customWidth="1"/>
    <col min="23" max="23" width="12.875" customWidth="1"/>
  </cols>
  <sheetData>
    <row r="1" spans="1:24" s="1" customFormat="1" ht="16.149999999999999" customHeight="1">
      <c r="A1" s="1" t="s">
        <v>0</v>
      </c>
      <c r="B1" s="2" t="s">
        <v>1</v>
      </c>
      <c r="C1" s="2" t="s">
        <v>2</v>
      </c>
      <c r="D1" s="1" t="s">
        <v>3</v>
      </c>
      <c r="E1" s="1" t="s">
        <v>4</v>
      </c>
      <c r="F1" s="1" t="s">
        <v>5</v>
      </c>
      <c r="G1" s="1" t="s">
        <v>6</v>
      </c>
      <c r="H1" s="1" t="s">
        <v>7</v>
      </c>
      <c r="I1" s="1" t="s">
        <v>8</v>
      </c>
      <c r="J1" s="3" t="s">
        <v>9</v>
      </c>
      <c r="K1" s="1" t="s">
        <v>10</v>
      </c>
      <c r="L1" s="2" t="s">
        <v>11</v>
      </c>
      <c r="M1" s="1" t="s">
        <v>12</v>
      </c>
      <c r="N1" s="1" t="s">
        <v>13</v>
      </c>
      <c r="O1" s="1" t="s">
        <v>14</v>
      </c>
      <c r="P1" s="4" t="s">
        <v>15</v>
      </c>
      <c r="Q1" s="5" t="s">
        <v>178</v>
      </c>
      <c r="R1" s="5" t="s">
        <v>183</v>
      </c>
      <c r="S1" s="1" t="s">
        <v>16</v>
      </c>
      <c r="T1" s="5" t="s">
        <v>177</v>
      </c>
      <c r="U1" s="5" t="s">
        <v>179</v>
      </c>
      <c r="V1" s="1" t="s">
        <v>17</v>
      </c>
      <c r="W1" s="6" t="s">
        <v>3</v>
      </c>
      <c r="X1" s="1" t="s">
        <v>18</v>
      </c>
    </row>
    <row r="2" spans="1:24" s="1" customFormat="1" ht="16.149999999999999" customHeight="1">
      <c r="A2" s="1">
        <f t="shared" ref="A2" si="0">ROW(A2)-1</f>
        <v>1</v>
      </c>
      <c r="B2" s="1" t="s">
        <v>90</v>
      </c>
      <c r="C2" s="1" t="s">
        <v>91</v>
      </c>
      <c r="D2" s="1" t="s">
        <v>92</v>
      </c>
      <c r="E2" s="1" t="s">
        <v>93</v>
      </c>
      <c r="F2" s="1" t="s">
        <v>105</v>
      </c>
      <c r="H2" s="2" t="s">
        <v>94</v>
      </c>
      <c r="I2" s="9" t="s">
        <v>106</v>
      </c>
      <c r="J2" s="3" t="str">
        <f>LEFT(RIGHT(LEFT(K2,6),3),2)</f>
        <v>香山</v>
      </c>
      <c r="K2" s="10" t="s">
        <v>107</v>
      </c>
      <c r="L2" s="1" t="s">
        <v>95</v>
      </c>
      <c r="M2" s="1" t="s">
        <v>96</v>
      </c>
      <c r="N2" s="1" t="s">
        <v>97</v>
      </c>
      <c r="O2" s="1" t="s">
        <v>98</v>
      </c>
      <c r="P2" s="4" t="s">
        <v>99</v>
      </c>
      <c r="Q2" s="1">
        <v>30</v>
      </c>
      <c r="R2" s="1" t="s">
        <v>100</v>
      </c>
      <c r="S2" s="1" t="s">
        <v>101</v>
      </c>
      <c r="T2" s="1" t="s">
        <v>102</v>
      </c>
      <c r="U2" s="1" t="s">
        <v>103</v>
      </c>
      <c r="W2" s="6" t="s">
        <v>92</v>
      </c>
      <c r="X2" s="1" t="s">
        <v>104</v>
      </c>
    </row>
  </sheetData>
  <phoneticPr fontId="4"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50C6-6D09-460C-97EF-B843F3DC480C}">
  <dimension ref="A1:BG2"/>
  <sheetViews>
    <sheetView workbookViewId="0">
      <selection activeCell="G2" sqref="G2"/>
    </sheetView>
  </sheetViews>
  <sheetFormatPr defaultRowHeight="14.95"/>
  <cols>
    <col min="4" max="4" width="22.5" customWidth="1"/>
    <col min="19" max="19" width="17" customWidth="1"/>
    <col min="20" max="20" width="19.75" customWidth="1"/>
  </cols>
  <sheetData>
    <row r="1" spans="1:59" ht="44.85">
      <c r="A1" t="s">
        <v>19</v>
      </c>
      <c r="B1" t="s">
        <v>20</v>
      </c>
      <c r="C1" t="s">
        <v>21</v>
      </c>
      <c r="D1" t="s">
        <v>123</v>
      </c>
      <c r="E1" t="s">
        <v>22</v>
      </c>
      <c r="F1" s="13" t="s">
        <v>124</v>
      </c>
      <c r="G1" s="14" t="s">
        <v>125</v>
      </c>
      <c r="H1" t="s">
        <v>126</v>
      </c>
      <c r="I1" t="s">
        <v>26</v>
      </c>
      <c r="J1" t="s">
        <v>127</v>
      </c>
      <c r="K1" t="s">
        <v>23</v>
      </c>
      <c r="L1" t="s">
        <v>24</v>
      </c>
      <c r="M1" t="s">
        <v>25</v>
      </c>
      <c r="N1" t="s">
        <v>27</v>
      </c>
      <c r="O1" t="s">
        <v>28</v>
      </c>
      <c r="P1" t="s">
        <v>29</v>
      </c>
      <c r="Q1" t="s">
        <v>30</v>
      </c>
      <c r="R1" t="s">
        <v>31</v>
      </c>
      <c r="S1" s="15" t="s">
        <v>128</v>
      </c>
      <c r="T1" t="s">
        <v>129</v>
      </c>
      <c r="U1" t="s">
        <v>130</v>
      </c>
      <c r="V1" t="s">
        <v>33</v>
      </c>
      <c r="W1" t="s">
        <v>34</v>
      </c>
      <c r="X1" t="s">
        <v>37</v>
      </c>
      <c r="Y1" t="s">
        <v>131</v>
      </c>
      <c r="Z1" t="s">
        <v>132</v>
      </c>
      <c r="AA1" t="s">
        <v>133</v>
      </c>
      <c r="AB1" t="s">
        <v>134</v>
      </c>
      <c r="AC1" t="s">
        <v>135</v>
      </c>
      <c r="AD1" t="s">
        <v>136</v>
      </c>
      <c r="AE1" t="s">
        <v>37</v>
      </c>
      <c r="AF1" t="s">
        <v>137</v>
      </c>
      <c r="AG1" t="s">
        <v>138</v>
      </c>
      <c r="AH1" t="s">
        <v>139</v>
      </c>
      <c r="AI1" t="s">
        <v>140</v>
      </c>
      <c r="AJ1" t="s">
        <v>141</v>
      </c>
      <c r="AK1" t="s">
        <v>37</v>
      </c>
      <c r="AL1" t="s">
        <v>142</v>
      </c>
      <c r="AM1" t="s">
        <v>143</v>
      </c>
      <c r="AN1" t="s">
        <v>144</v>
      </c>
      <c r="AO1" t="s">
        <v>145</v>
      </c>
      <c r="AP1" t="s">
        <v>37</v>
      </c>
      <c r="AQ1" t="s">
        <v>146</v>
      </c>
      <c r="AR1" t="s">
        <v>147</v>
      </c>
      <c r="AS1" t="s">
        <v>148</v>
      </c>
      <c r="AT1" t="s">
        <v>37</v>
      </c>
      <c r="AU1" t="s">
        <v>149</v>
      </c>
      <c r="AV1" t="s">
        <v>150</v>
      </c>
      <c r="AW1" t="s">
        <v>151</v>
      </c>
      <c r="AX1" t="s">
        <v>152</v>
      </c>
      <c r="AY1" t="s">
        <v>77</v>
      </c>
      <c r="AZ1" t="s">
        <v>78</v>
      </c>
      <c r="BA1" t="s">
        <v>79</v>
      </c>
      <c r="BB1" t="s">
        <v>80</v>
      </c>
      <c r="BC1" t="s">
        <v>81</v>
      </c>
      <c r="BD1" t="s">
        <v>153</v>
      </c>
      <c r="BE1" t="s">
        <v>37</v>
      </c>
      <c r="BF1" t="s">
        <v>154</v>
      </c>
      <c r="BG1" s="16" t="s">
        <v>155</v>
      </c>
    </row>
    <row r="2" spans="1:59">
      <c r="A2">
        <v>1</v>
      </c>
      <c r="B2" t="s">
        <v>164</v>
      </c>
      <c r="C2" t="str">
        <f t="shared" ref="C2" si="0">IF(ISNUMBER(SEARCH("807",$G2)),
   "永豐銀行",
   IF(ISNUMBER(SEARCH("812",$G2)),
      "台新",
      ""
   )
)</f>
        <v/>
      </c>
      <c r="D2" t="s">
        <v>165</v>
      </c>
      <c r="E2" t="s">
        <v>166</v>
      </c>
      <c r="F2" s="17"/>
      <c r="G2" s="18" t="s">
        <v>176</v>
      </c>
      <c r="K2">
        <v>61</v>
      </c>
      <c r="L2">
        <v>12</v>
      </c>
      <c r="M2">
        <v>24</v>
      </c>
      <c r="P2" t="s">
        <v>135</v>
      </c>
      <c r="Q2">
        <v>302</v>
      </c>
      <c r="T2" t="s">
        <v>156</v>
      </c>
      <c r="U2" t="s">
        <v>157</v>
      </c>
      <c r="V2" t="s">
        <v>111</v>
      </c>
      <c r="W2" t="s">
        <v>111</v>
      </c>
      <c r="Y2" t="s">
        <v>158</v>
      </c>
      <c r="Z2" t="s">
        <v>111</v>
      </c>
      <c r="AA2" t="s">
        <v>111</v>
      </c>
      <c r="AB2" t="s">
        <v>111</v>
      </c>
      <c r="AC2" t="s">
        <v>111</v>
      </c>
      <c r="AF2" t="s">
        <v>159</v>
      </c>
      <c r="AG2" t="s">
        <v>111</v>
      </c>
      <c r="AH2" t="s">
        <v>111</v>
      </c>
      <c r="AI2" t="s">
        <v>111</v>
      </c>
      <c r="AL2" t="s">
        <v>160</v>
      </c>
      <c r="AM2" t="s">
        <v>111</v>
      </c>
      <c r="AN2" t="s">
        <v>111</v>
      </c>
      <c r="AO2" t="s">
        <v>111</v>
      </c>
      <c r="AQ2" t="s">
        <v>161</v>
      </c>
      <c r="AR2" t="s">
        <v>111</v>
      </c>
      <c r="AS2" t="s">
        <v>111</v>
      </c>
      <c r="AU2" t="s">
        <v>162</v>
      </c>
      <c r="AV2" t="s">
        <v>111</v>
      </c>
      <c r="AW2" t="s">
        <v>111</v>
      </c>
      <c r="AX2" t="s">
        <v>163</v>
      </c>
      <c r="AY2" t="s">
        <v>111</v>
      </c>
      <c r="AZ2" t="s">
        <v>111</v>
      </c>
      <c r="BA2" t="s">
        <v>111</v>
      </c>
      <c r="BB2" t="s">
        <v>111</v>
      </c>
      <c r="BC2" t="s">
        <v>111</v>
      </c>
      <c r="BF2" t="s">
        <v>86</v>
      </c>
      <c r="BG2" s="19">
        <f t="shared" ref="BG2" si="1">DATE(1911+K2,L2,M2)</f>
        <v>26657</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773CD-34F2-41A1-9B29-8748734DBC0C}">
  <dimension ref="A1:Q4"/>
  <sheetViews>
    <sheetView tabSelected="1" workbookViewId="0">
      <selection activeCell="J14" sqref="J14"/>
    </sheetView>
  </sheetViews>
  <sheetFormatPr defaultRowHeight="14.95"/>
  <cols>
    <col min="1" max="1" width="38.5" customWidth="1"/>
    <col min="2" max="2" width="11.875" customWidth="1"/>
    <col min="3" max="3" width="18.75" customWidth="1"/>
    <col min="4" max="17" width="11.875" customWidth="1"/>
  </cols>
  <sheetData>
    <row r="1" spans="1:17">
      <c r="A1" s="25" t="s">
        <v>211</v>
      </c>
    </row>
    <row r="2" spans="1:17">
      <c r="A2" s="24" t="s">
        <v>184</v>
      </c>
      <c r="B2" s="24"/>
      <c r="C2" s="24"/>
    </row>
    <row r="3" spans="1:17">
      <c r="A3" t="s">
        <v>185</v>
      </c>
      <c r="B3" t="s">
        <v>186</v>
      </c>
      <c r="C3" t="s">
        <v>187</v>
      </c>
      <c r="D3" t="s">
        <v>188</v>
      </c>
      <c r="E3" t="s">
        <v>22</v>
      </c>
      <c r="F3" t="s">
        <v>126</v>
      </c>
      <c r="G3" t="s">
        <v>189</v>
      </c>
      <c r="H3" t="s">
        <v>190</v>
      </c>
      <c r="I3" t="s">
        <v>191</v>
      </c>
      <c r="J3" t="s">
        <v>192</v>
      </c>
      <c r="K3" t="s">
        <v>193</v>
      </c>
      <c r="L3" t="s">
        <v>194</v>
      </c>
      <c r="M3" t="s">
        <v>195</v>
      </c>
      <c r="N3" t="s">
        <v>196</v>
      </c>
      <c r="O3" t="s">
        <v>197</v>
      </c>
      <c r="P3" t="s">
        <v>198</v>
      </c>
      <c r="Q3" t="s">
        <v>199</v>
      </c>
    </row>
    <row r="4" spans="1:17">
      <c r="A4" t="s">
        <v>200</v>
      </c>
      <c r="B4" t="s">
        <v>201</v>
      </c>
      <c r="C4" t="s">
        <v>201</v>
      </c>
      <c r="D4" t="s">
        <v>202</v>
      </c>
      <c r="G4" t="s">
        <v>203</v>
      </c>
      <c r="H4" t="s">
        <v>204</v>
      </c>
      <c r="I4" t="s">
        <v>205</v>
      </c>
      <c r="J4" t="s">
        <v>200</v>
      </c>
      <c r="K4" t="s">
        <v>206</v>
      </c>
      <c r="L4" t="s">
        <v>207</v>
      </c>
      <c r="M4" t="s">
        <v>208</v>
      </c>
      <c r="N4" t="s">
        <v>207</v>
      </c>
      <c r="O4" t="s">
        <v>209</v>
      </c>
      <c r="P4" t="s">
        <v>207</v>
      </c>
      <c r="Q4" t="s">
        <v>210</v>
      </c>
    </row>
  </sheetData>
  <mergeCells count="1">
    <mergeCell ref="A2:C2"/>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550C-6A85-4633-89A8-67CDC943236B}">
  <dimension ref="A1:CM2"/>
  <sheetViews>
    <sheetView topLeftCell="I1" workbookViewId="0">
      <selection activeCell="CG1" sqref="CG1"/>
    </sheetView>
  </sheetViews>
  <sheetFormatPr defaultRowHeight="14.95"/>
  <cols>
    <col min="11" max="11" width="10.5" bestFit="1" customWidth="1"/>
    <col min="21" max="21" width="12.125" customWidth="1"/>
    <col min="83" max="83" width="14.5" customWidth="1"/>
    <col min="84" max="84" width="33.375" customWidth="1"/>
    <col min="85" max="85" width="12" customWidth="1"/>
  </cols>
  <sheetData>
    <row r="1" spans="1:91" s="8" customFormat="1" ht="24.65" customHeight="1">
      <c r="A1" s="20" t="s">
        <v>19</v>
      </c>
      <c r="B1" s="20" t="s">
        <v>20</v>
      </c>
      <c r="C1" s="20" t="s">
        <v>21</v>
      </c>
      <c r="D1" s="20" t="s">
        <v>123</v>
      </c>
      <c r="E1" s="20" t="s">
        <v>22</v>
      </c>
      <c r="F1" s="20" t="s">
        <v>126</v>
      </c>
      <c r="G1" s="21" t="s">
        <v>180</v>
      </c>
      <c r="H1" s="20" t="s">
        <v>23</v>
      </c>
      <c r="I1" s="20" t="s">
        <v>24</v>
      </c>
      <c r="J1" s="20" t="s">
        <v>25</v>
      </c>
      <c r="K1" s="20" t="s">
        <v>26</v>
      </c>
      <c r="L1" s="20" t="s">
        <v>27</v>
      </c>
      <c r="M1" s="20" t="s">
        <v>28</v>
      </c>
      <c r="N1" s="20" t="s">
        <v>29</v>
      </c>
      <c r="O1" s="20" t="s">
        <v>30</v>
      </c>
      <c r="P1" s="20" t="s">
        <v>31</v>
      </c>
      <c r="Q1" s="20" t="s">
        <v>32</v>
      </c>
      <c r="R1" s="20" t="s">
        <v>33</v>
      </c>
      <c r="S1" s="20" t="s">
        <v>34</v>
      </c>
      <c r="T1" s="20" t="s">
        <v>35</v>
      </c>
      <c r="U1" s="20" t="s">
        <v>36</v>
      </c>
      <c r="V1" s="20" t="s">
        <v>167</v>
      </c>
      <c r="W1" s="20" t="s">
        <v>37</v>
      </c>
      <c r="X1" s="20" t="s">
        <v>38</v>
      </c>
      <c r="Y1" s="20" t="s">
        <v>39</v>
      </c>
      <c r="Z1" s="20" t="s">
        <v>40</v>
      </c>
      <c r="AA1" s="20" t="s">
        <v>41</v>
      </c>
      <c r="AB1" s="20" t="s">
        <v>42</v>
      </c>
      <c r="AC1" s="20" t="s">
        <v>43</v>
      </c>
      <c r="AD1" s="20" t="s">
        <v>37</v>
      </c>
      <c r="AE1" s="20" t="s">
        <v>44</v>
      </c>
      <c r="AF1" s="20" t="s">
        <v>45</v>
      </c>
      <c r="AG1" s="20" t="s">
        <v>46</v>
      </c>
      <c r="AH1" s="20" t="s">
        <v>47</v>
      </c>
      <c r="AI1" s="20" t="s">
        <v>48</v>
      </c>
      <c r="AJ1" s="20" t="s">
        <v>37</v>
      </c>
      <c r="AK1" s="20" t="s">
        <v>49</v>
      </c>
      <c r="AL1" s="20" t="s">
        <v>50</v>
      </c>
      <c r="AM1" s="20" t="s">
        <v>51</v>
      </c>
      <c r="AN1" s="20" t="s">
        <v>52</v>
      </c>
      <c r="AO1" s="20" t="s">
        <v>53</v>
      </c>
      <c r="AP1" s="20" t="s">
        <v>54</v>
      </c>
      <c r="AQ1" s="20" t="s">
        <v>55</v>
      </c>
      <c r="AR1" s="20" t="s">
        <v>56</v>
      </c>
      <c r="AS1" s="20" t="s">
        <v>57</v>
      </c>
      <c r="AT1" s="20" t="s">
        <v>58</v>
      </c>
      <c r="AU1" s="20" t="s">
        <v>59</v>
      </c>
      <c r="AV1" s="20" t="s">
        <v>60</v>
      </c>
      <c r="AW1" s="20" t="s">
        <v>61</v>
      </c>
      <c r="AX1" s="20" t="s">
        <v>62</v>
      </c>
      <c r="AY1" s="20" t="s">
        <v>63</v>
      </c>
      <c r="AZ1" s="20" t="s">
        <v>64</v>
      </c>
      <c r="BA1" s="20" t="s">
        <v>65</v>
      </c>
      <c r="BB1" s="20" t="s">
        <v>66</v>
      </c>
      <c r="BC1" s="20" t="s">
        <v>67</v>
      </c>
      <c r="BD1" s="20" t="s">
        <v>37</v>
      </c>
      <c r="BE1" s="20" t="s">
        <v>68</v>
      </c>
      <c r="BF1" s="20" t="s">
        <v>69</v>
      </c>
      <c r="BG1" s="20" t="s">
        <v>70</v>
      </c>
      <c r="BH1" s="20" t="s">
        <v>71</v>
      </c>
      <c r="BI1" s="20" t="s">
        <v>72</v>
      </c>
      <c r="BJ1" s="20" t="s">
        <v>73</v>
      </c>
      <c r="BK1" s="20" t="s">
        <v>74</v>
      </c>
      <c r="BL1" s="20" t="s">
        <v>75</v>
      </c>
      <c r="BM1" s="20" t="s">
        <v>37</v>
      </c>
      <c r="BN1" s="20" t="s">
        <v>76</v>
      </c>
      <c r="BO1" s="20" t="s">
        <v>77</v>
      </c>
      <c r="BP1" s="20" t="s">
        <v>78</v>
      </c>
      <c r="BQ1" s="20" t="s">
        <v>79</v>
      </c>
      <c r="BR1" s="20" t="s">
        <v>80</v>
      </c>
      <c r="BS1" s="20" t="s">
        <v>81</v>
      </c>
      <c r="BT1" s="20" t="s">
        <v>37</v>
      </c>
      <c r="BU1" s="20" t="s">
        <v>82</v>
      </c>
      <c r="BV1" s="20" t="s">
        <v>83</v>
      </c>
      <c r="BW1" s="20" t="s">
        <v>168</v>
      </c>
      <c r="BX1" s="20" t="s">
        <v>169</v>
      </c>
      <c r="BY1" s="20" t="s">
        <v>84</v>
      </c>
      <c r="BZ1" s="20" t="s">
        <v>37</v>
      </c>
      <c r="CA1" s="20" t="s">
        <v>85</v>
      </c>
      <c r="CB1" s="20" t="s">
        <v>86</v>
      </c>
      <c r="CC1" s="20" t="s">
        <v>87</v>
      </c>
      <c r="CD1" s="20" t="s">
        <v>37</v>
      </c>
      <c r="CE1" s="20" t="s">
        <v>88</v>
      </c>
      <c r="CF1" s="22" t="s">
        <v>181</v>
      </c>
      <c r="CG1" s="23" t="s">
        <v>182</v>
      </c>
      <c r="CH1" s="20" t="s">
        <v>170</v>
      </c>
      <c r="CI1" s="20" t="s">
        <v>171</v>
      </c>
      <c r="CJ1" s="20" t="s">
        <v>172</v>
      </c>
      <c r="CK1" s="20" t="s">
        <v>173</v>
      </c>
      <c r="CL1" s="20" t="s">
        <v>174</v>
      </c>
      <c r="CM1" s="20" t="s">
        <v>89</v>
      </c>
    </row>
    <row r="2" spans="1:91" s="12" customFormat="1" ht="14.3">
      <c r="A2" s="11">
        <v>17</v>
      </c>
      <c r="B2" s="11">
        <v>28755243</v>
      </c>
      <c r="C2" s="11" t="s">
        <v>108</v>
      </c>
      <c r="D2" s="7" t="s">
        <v>122</v>
      </c>
      <c r="E2" s="11"/>
      <c r="F2" s="11" t="s">
        <v>94</v>
      </c>
      <c r="G2" s="11"/>
      <c r="H2" s="11">
        <v>1989</v>
      </c>
      <c r="I2" s="11">
        <v>8</v>
      </c>
      <c r="J2" s="11">
        <v>2</v>
      </c>
      <c r="K2" s="11"/>
      <c r="L2" s="11"/>
      <c r="M2" s="11"/>
      <c r="N2" s="11" t="s">
        <v>109</v>
      </c>
      <c r="O2" s="11">
        <v>300</v>
      </c>
      <c r="P2" s="11"/>
      <c r="Q2" s="11" t="s">
        <v>110</v>
      </c>
      <c r="R2" s="11" t="s">
        <v>111</v>
      </c>
      <c r="S2" s="11"/>
      <c r="T2" s="11" t="s">
        <v>111</v>
      </c>
      <c r="U2" s="11"/>
      <c r="V2" s="11"/>
      <c r="W2" s="11"/>
      <c r="X2" s="11" t="s">
        <v>112</v>
      </c>
      <c r="Y2" s="11" t="s">
        <v>41</v>
      </c>
      <c r="Z2" s="11"/>
      <c r="AA2" s="11" t="s">
        <v>111</v>
      </c>
      <c r="AB2" s="11"/>
      <c r="AC2" s="11"/>
      <c r="AD2" s="11"/>
      <c r="AE2" s="11" t="s">
        <v>113</v>
      </c>
      <c r="AF2" s="11" t="s">
        <v>111</v>
      </c>
      <c r="AG2" s="11" t="s">
        <v>111</v>
      </c>
      <c r="AH2" s="11" t="s">
        <v>111</v>
      </c>
      <c r="AI2" s="11" t="s">
        <v>111</v>
      </c>
      <c r="AJ2" s="11"/>
      <c r="AK2" s="11" t="s">
        <v>114</v>
      </c>
      <c r="AL2" s="11" t="s">
        <v>115</v>
      </c>
      <c r="AM2" s="11" t="s">
        <v>116</v>
      </c>
      <c r="AN2" s="11" t="s">
        <v>117</v>
      </c>
      <c r="AO2" s="11" t="s">
        <v>111</v>
      </c>
      <c r="AP2" s="11"/>
      <c r="AQ2" s="11" t="s">
        <v>111</v>
      </c>
      <c r="AR2" s="11"/>
      <c r="AS2" s="11"/>
      <c r="AT2" s="11"/>
      <c r="AU2" s="11"/>
      <c r="AV2" s="11"/>
      <c r="AW2" s="11" t="s">
        <v>111</v>
      </c>
      <c r="AX2" s="11" t="s">
        <v>111</v>
      </c>
      <c r="AY2" s="11"/>
      <c r="AZ2" s="11"/>
      <c r="BA2" s="11" t="s">
        <v>111</v>
      </c>
      <c r="BB2" s="11" t="s">
        <v>111</v>
      </c>
      <c r="BC2" s="11"/>
      <c r="BD2" s="11"/>
      <c r="BE2" s="11" t="s">
        <v>71</v>
      </c>
      <c r="BF2" s="11"/>
      <c r="BG2" s="11"/>
      <c r="BH2" s="11" t="s">
        <v>111</v>
      </c>
      <c r="BI2" s="11" t="s">
        <v>75</v>
      </c>
      <c r="BJ2" s="11"/>
      <c r="BK2" s="11"/>
      <c r="BL2" s="11" t="s">
        <v>111</v>
      </c>
      <c r="BM2" s="11"/>
      <c r="BN2" s="11" t="s">
        <v>118</v>
      </c>
      <c r="BO2" s="11"/>
      <c r="BP2" s="11"/>
      <c r="BQ2" s="11"/>
      <c r="BR2" s="11"/>
      <c r="BS2" s="11"/>
      <c r="BT2" s="11" t="s">
        <v>119</v>
      </c>
      <c r="BU2" s="11"/>
      <c r="BV2" s="11" t="s">
        <v>84</v>
      </c>
      <c r="BW2" s="11"/>
      <c r="BX2" s="11"/>
      <c r="BY2" s="11" t="s">
        <v>111</v>
      </c>
      <c r="BZ2" s="11"/>
      <c r="CA2" s="11" t="s">
        <v>86</v>
      </c>
      <c r="CB2" s="11" t="s">
        <v>111</v>
      </c>
      <c r="CC2" s="11"/>
      <c r="CD2" s="11"/>
      <c r="CE2" s="11" t="s">
        <v>120</v>
      </c>
      <c r="CF2" s="11">
        <v>1000000</v>
      </c>
      <c r="CH2" s="11" t="s">
        <v>175</v>
      </c>
      <c r="CI2" s="11" t="s">
        <v>111</v>
      </c>
      <c r="CJ2" s="11" t="s">
        <v>111</v>
      </c>
      <c r="CK2" s="11" t="s">
        <v>111</v>
      </c>
      <c r="CL2" s="11" t="s">
        <v>111</v>
      </c>
      <c r="CM2" s="11" t="s">
        <v>121</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HCM 月子平台 -市府</vt:lpstr>
      <vt:lpstr>服務人員</vt:lpstr>
      <vt:lpstr>保險表</vt:lpstr>
      <vt:lpstr>beclass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2015-06-05T18:19:34Z</dcterms:created>
  <dcterms:modified xsi:type="dcterms:W3CDTF">2026-07-01T07:32:04Z</dcterms:modified>
</cp:coreProperties>
</file>