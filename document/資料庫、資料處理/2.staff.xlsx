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<sst xmlns="http://schemas.openxmlformats.org/spreadsheetml/2006/main" count="94" uniqueCount="68">
  <si>
    <t xml:space="preserve">項次</t>
  </si>
  <si>
    <t xml:space="preserve">查詢序號</t>
  </si>
  <si>
    <t xml:space="preserve">報名時間</t>
  </si>
  <si>
    <t xml:space="preserve">IP位址</t>
  </si>
  <si>
    <t xml:space="preserve">姓名</t>
  </si>
  <si>
    <t xml:space="preserve">銀行帳號</t>
  </si>
  <si>
    <t xml:space="preserve">銀行代3碼+分行代號4碼</t>
  </si>
  <si>
    <t xml:space="preserve">身分證字號</t>
  </si>
  <si>
    <t xml:space="preserve">行動電話</t>
  </si>
  <si>
    <t xml:space="preserve">EMAIL</t>
  </si>
  <si>
    <t xml:space="preserve">出生年</t>
  </si>
  <si>
    <t xml:space="preserve">月</t>
  </si>
  <si>
    <t xml:space="preserve">日</t>
  </si>
  <si>
    <t xml:space="preserve">市話</t>
  </si>
  <si>
    <t xml:space="preserve">分機</t>
  </si>
  <si>
    <t xml:space="preserve">縣市</t>
  </si>
  <si>
    <t xml:space="preserve">郵遞區號</t>
  </si>
  <si>
    <t xml:space="preserve">地址</t>
  </si>
  <si>
    <t xml:space="preserve">若有其它同銀行帳號，請一併提供。(永豐或台新)</t>
  </si>
  <si>
    <t xml:space="preserve">承上題</t>
  </si>
  <si>
    <t xml:space="preserve">月子餐點料理</t>
  </si>
  <si>
    <t xml:space="preserve">葷食</t>
  </si>
  <si>
    <t xml:space="preserve">素食</t>
  </si>
  <si>
    <t xml:space="preserve">[其它]</t>
  </si>
  <si>
    <t xml:space="preserve">可承接案件區域</t>
  </si>
  <si>
    <t xml:space="preserve">北區</t>
  </si>
  <si>
    <t xml:space="preserve">東區</t>
  </si>
  <si>
    <t xml:space="preserve">香山區</t>
  </si>
  <si>
    <t xml:space="preserve">新竹縣</t>
  </si>
  <si>
    <t xml:space="preserve">苗栗縣</t>
  </si>
  <si>
    <t xml:space="preserve">可承接案件時段</t>
  </si>
  <si>
    <t xml:space="preserve">4小時(上午8:30-12:30)</t>
  </si>
  <si>
    <t xml:space="preserve">4小時(下午13:00-17:00)</t>
  </si>
  <si>
    <t xml:space="preserve">8小時</t>
  </si>
  <si>
    <t xml:space="preserve">24小時</t>
  </si>
  <si>
    <t xml:space="preserve">可服務週間</t>
  </si>
  <si>
    <t xml:space="preserve">連續服務</t>
  </si>
  <si>
    <t xml:space="preserve">週休1日</t>
  </si>
  <si>
    <t xml:space="preserve">週休2日</t>
  </si>
  <si>
    <t xml:space="preserve">可承接的胎數</t>
  </si>
  <si>
    <t xml:space="preserve">單胞胎</t>
  </si>
  <si>
    <t xml:space="preserve">雙胞胎</t>
  </si>
  <si>
    <t xml:space="preserve">服務時交通工具</t>
  </si>
  <si>
    <t xml:space="preserve">機車</t>
  </si>
  <si>
    <t xml:space="preserve">轎車</t>
  </si>
  <si>
    <t xml:space="preserve">特殊節日可上班的部分(計費:服務費雙倍)</t>
  </si>
  <si>
    <t xml:space="preserve">年節農曆過年初一</t>
  </si>
  <si>
    <t xml:space="preserve">年節農曆過年初二</t>
  </si>
  <si>
    <t xml:space="preserve">年節農曆過年初三</t>
  </si>
  <si>
    <t xml:space="preserve">端午節</t>
  </si>
  <si>
    <t xml:space="preserve">中秋節</t>
  </si>
  <si>
    <t xml:space="preserve">國定假日必休</t>
  </si>
  <si>
    <t xml:space="preserve">有嬰幼兒按摩證書嗎?</t>
  </si>
  <si>
    <t xml:space="preserve">民國出生年月日</t>
  </si>
  <si>
    <t xml:space="preserve">E013謝英英</t>
  </si>
  <si>
    <t xml:space="preserve">E013</t>
  </si>
  <si>
    <t xml:space="preserve">謝英英</t>
  </si>
  <si>
    <t xml:space="preserve">10000000</t>
  </si>
  <si>
    <t xml:space="preserve">我提供的帳號是永豐銀行帳戶</t>
  </si>
  <si>
    <t xml:space="preserve">葷食、素食</t>
  </si>
  <si>
    <t xml:space="preserve">Y</t>
  </si>
  <si>
    <t xml:space="preserve">北區、東區、香山區、新竹縣</t>
  </si>
  <si>
    <t xml:space="preserve">4小時(上午8:30-12:30)、4小時(下午13:00-17:00)、8小時</t>
  </si>
  <si>
    <t xml:space="preserve">連續服務、週休1日、週休2日</t>
  </si>
  <si>
    <t xml:space="preserve">單胞胎、雙胞胎</t>
  </si>
  <si>
    <t xml:space="preserve">機車、轎車</t>
  </si>
  <si>
    <t xml:space="preserve">年節農曆過年初一、年節農曆過年初二、年節農曆過年初三、端午節、中秋節</t>
  </si>
  <si>
    <t xml:space="preserve">有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</si>
</sst>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4]e/m/d;@"/>
  </numFmts>
  <fonts count="8">
    <font>
      <sz val="11"/>
      <color theme="1"/>
      <name val="新細明體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2"/>
      <color theme="1"/>
      <name val="新細明體"/>
      <family val="2"/>
      <charset val="136"/>
    </font>
    <font>
      <sz val="11"/>
      <color rgb="FF000000"/>
      <name val="Microsoft JhengHei"/>
      <family val="2"/>
      <charset val="136"/>
    </font>
    <font>
      <sz val="11"/>
      <color rgb="FF000000"/>
      <name val="新細明體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一般 2" xfId="20"/>
    <cellStyle name="一般 2 3" xfId="21"/>
    <cellStyle name="一般 27" xfId="22"/>
    <cellStyle name="一般 6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5859375" defaultRowHeight="14.25" customHeight="false" zeroHeight="false" outlineLevelRow="0" outlineLevelCol="0"/>
  <cols>
    <col collapsed="false" customWidth="true" hidden="false" outlineLevel="0" max="4" min="4" style="1" width="22.51"/>
    <col collapsed="false" customWidth="true" hidden="false" outlineLevel="0" max="19" min="19" style="1" width="17"/>
    <col collapsed="false" customWidth="true" hidden="false" outlineLevel="0" max="20" min="20" style="1" width="19.75"/>
  </cols>
  <sheetData>
    <row r="1" customFormat="false" ht="33.7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23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23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23</v>
      </c>
      <c r="AQ1" s="1" t="s">
        <v>39</v>
      </c>
      <c r="AR1" s="1" t="s">
        <v>40</v>
      </c>
      <c r="AS1" s="1" t="s">
        <v>41</v>
      </c>
      <c r="AT1" s="1" t="s">
        <v>23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23</v>
      </c>
      <c r="BF1" s="1" t="s">
        <v>52</v>
      </c>
      <c r="BG1" s="5" t="s">
        <v>53</v>
      </c>
    </row>
    <row r="2" customFormat="false" ht="14.25" hidden="false" customHeight="false" outlineLevel="0" collapsed="false">
      <c r="A2" s="1" t="n">
        <v>1</v>
      </c>
      <c r="B2" s="1" t="s">
        <v>54</v>
      </c>
      <c r="C2" s="1" t="str">
        <f aca="false">IF(ISNUMBER(SEARCH("807",$G2)),
   "永豐銀行",
   IF(ISNUMBER(SEARCH("812",$G2)),
      "台新",
      ""
   )
)</f>
        <v/>
      </c>
      <c r="D2" s="1" t="s">
        <v>55</v>
      </c>
      <c r="E2" s="1" t="s">
        <v>56</v>
      </c>
      <c r="F2" s="6"/>
      <c r="G2" s="7" t="s">
        <v>57</v>
      </c>
      <c r="K2" s="1" t="n">
        <v>61</v>
      </c>
      <c r="L2" s="1" t="n">
        <v>12</v>
      </c>
      <c r="M2" s="1" t="n">
        <v>24</v>
      </c>
      <c r="P2" s="1" t="s">
        <v>28</v>
      </c>
      <c r="Q2" s="1" t="n">
        <v>302</v>
      </c>
      <c r="T2" s="1" t="s">
        <v>58</v>
      </c>
      <c r="U2" s="1" t="s">
        <v>59</v>
      </c>
      <c r="V2" s="1" t="s">
        <v>60</v>
      </c>
      <c r="W2" s="1" t="s">
        <v>60</v>
      </c>
      <c r="Y2" s="1" t="s">
        <v>61</v>
      </c>
      <c r="Z2" s="1" t="s">
        <v>60</v>
      </c>
      <c r="AA2" s="1" t="s">
        <v>60</v>
      </c>
      <c r="AB2" s="1" t="s">
        <v>60</v>
      </c>
      <c r="AC2" s="1" t="s">
        <v>60</v>
      </c>
      <c r="AF2" s="1" t="s">
        <v>62</v>
      </c>
      <c r="AG2" s="1" t="s">
        <v>60</v>
      </c>
      <c r="AH2" s="1" t="s">
        <v>60</v>
      </c>
      <c r="AI2" s="1" t="s">
        <v>60</v>
      </c>
      <c r="AL2" s="1" t="s">
        <v>63</v>
      </c>
      <c r="AM2" s="1" t="s">
        <v>60</v>
      </c>
      <c r="AN2" s="1" t="s">
        <v>60</v>
      </c>
      <c r="AO2" s="1" t="s">
        <v>60</v>
      </c>
      <c r="AQ2" s="1" t="s">
        <v>64</v>
      </c>
      <c r="AR2" s="1" t="s">
        <v>60</v>
      </c>
      <c r="AS2" s="1" t="s">
        <v>60</v>
      </c>
      <c r="AU2" s="1" t="s">
        <v>65</v>
      </c>
      <c r="AV2" s="1" t="s">
        <v>60</v>
      </c>
      <c r="AW2" s="1" t="s">
        <v>60</v>
      </c>
      <c r="AX2" s="1" t="s">
        <v>66</v>
      </c>
      <c r="AY2" s="1" t="s">
        <v>60</v>
      </c>
      <c r="AZ2" s="1" t="s">
        <v>60</v>
      </c>
      <c r="BA2" s="1" t="s">
        <v>60</v>
      </c>
      <c r="BB2" s="1" t="s">
        <v>60</v>
      </c>
      <c r="BC2" s="1" t="s">
        <v>60</v>
      </c>
      <c r="BF2" s="1" t="s">
        <v>67</v>
      </c>
      <c r="BG2" s="8" t="n">
        <f aca="false">DATE(1911+K2,L2,M2)</f>
        <v>26657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User</dc:creator>
  <dc:description/>
  <dc:language>zh-TW</dc:language>
  <cp:lastModifiedBy/>
  <dcterms:modified xsi:type="dcterms:W3CDTF">2026-08-13T15:36:42Z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