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0C2131F-EDD5-4814-881B-D90C459494DD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HCM 月子平台 -市府" sheetId="1" r:id="rId1"/>
    <sheet name="be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<sst xmlns="http://schemas.openxmlformats.org/spreadsheetml/2006/main" count="163" uniqueCount="132">
  <si>
    <r>
      <rPr>
        <sz val="12"/>
        <color theme="1"/>
        <rFont val="新細明體"/>
        <family val="1"/>
        <charset val="136"/>
      </rPr>
      <t>項次</t>
    </r>
  </si>
  <si>
    <t>案件狀態</t>
  </si>
  <si>
    <t>不符合原因</t>
  </si>
  <si>
    <r>
      <rPr>
        <sz val="12"/>
        <color theme="1"/>
        <rFont val="新細明體"/>
        <family val="1"/>
        <charset val="136"/>
      </rPr>
      <t>查詢序號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案件編號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</si>
  <si>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新細明體"/>
        <family val="1"/>
        <charset val="136"/>
      </rPr>
      <t>報名時間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建檔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</si>
  <si>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Calibri"/>
        <family val="2"/>
      </rPr>
      <t>IP</t>
    </r>
    <r>
      <rPr>
        <sz val="12"/>
        <color theme="1"/>
        <rFont val="新細明體"/>
        <family val="1"/>
        <charset val="136"/>
      </rPr>
      <t>位址</t>
    </r>
  </si>
  <si>
    <r>
      <rPr>
        <sz val="12"/>
        <color theme="1"/>
        <rFont val="新細明體"/>
        <family val="1"/>
        <charset val="136"/>
      </rPr>
      <t>姓名</t>
    </r>
  </si>
  <si>
    <r>
      <rPr>
        <sz val="12"/>
        <color theme="1"/>
        <rFont val="新細明體"/>
        <family val="1"/>
        <charset val="136"/>
      </rPr>
      <t>性別</t>
    </r>
  </si>
  <si>
    <r>
      <rPr>
        <sz val="12"/>
        <color theme="1"/>
        <rFont val="新細明體"/>
        <family val="1"/>
        <charset val="136"/>
      </rPr>
      <t>行動電話</t>
    </r>
  </si>
  <si>
    <r>
      <rPr>
        <sz val="12"/>
        <color theme="1"/>
        <rFont val="新細明體"/>
        <family val="1"/>
        <charset val="136"/>
      </rPr>
      <t>縣市</t>
    </r>
  </si>
  <si>
    <r>
      <rPr>
        <sz val="12"/>
        <color theme="1"/>
        <rFont val="新細明體"/>
        <family val="1"/>
        <charset val="136"/>
      </rPr>
      <t>地址</t>
    </r>
  </si>
  <si>
    <t>身分資格</t>
  </si>
  <si>
    <r>
      <rPr>
        <sz val="12"/>
        <color theme="1"/>
        <rFont val="新細明體"/>
        <family val="1"/>
        <charset val="136"/>
      </rPr>
      <t>服務時間</t>
    </r>
  </si>
  <si>
    <r>
      <rPr>
        <sz val="12"/>
        <color theme="1"/>
        <rFont val="新細明體"/>
        <family val="1"/>
        <charset val="136"/>
      </rPr>
      <t>預產期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預計服務開始月份</t>
    </r>
  </si>
  <si>
    <r>
      <rPr>
        <sz val="12"/>
        <color theme="1"/>
        <rFont val="新細明體"/>
        <family val="1"/>
        <charset val="136"/>
      </rPr>
      <t>預計服務日期</t>
    </r>
  </si>
  <si>
    <r>
      <rPr>
        <sz val="9"/>
        <color theme="1"/>
        <rFont val="新細明體"/>
        <family val="1"/>
        <charset val="136"/>
      </rPr>
      <t>其他事項</t>
    </r>
  </si>
  <si>
    <t>希望服務天數</t>
  </si>
  <si>
    <t>居住型態</t>
  </si>
  <si>
    <r>
      <rPr>
        <sz val="12"/>
        <color theme="1"/>
        <rFont val="新細明體"/>
        <family val="1"/>
        <charset val="136"/>
      </rPr>
      <t>生產方式</t>
    </r>
  </si>
  <si>
    <r>
      <rPr>
        <sz val="12"/>
        <color theme="1"/>
        <rFont val="新細明體"/>
        <family val="1"/>
        <charset val="136"/>
      </rPr>
      <t>服務方式</t>
    </r>
  </si>
  <si>
    <r>
      <rPr>
        <sz val="12"/>
        <color theme="1"/>
        <rFont val="新細明體"/>
        <family val="1"/>
        <charset val="136"/>
      </rPr>
      <t>寶寶資訊</t>
    </r>
  </si>
  <si>
    <t>LINE ID</t>
  </si>
  <si>
    <r>
      <rPr>
        <sz val="12"/>
        <color theme="1"/>
        <rFont val="新細明體"/>
        <family val="1"/>
        <charset val="136"/>
      </rPr>
      <t>管理者註記事項</t>
    </r>
  </si>
  <si>
    <t>項次</t>
  </si>
  <si>
    <t>查詢序號</t>
  </si>
  <si>
    <t>報名時間</t>
  </si>
  <si>
    <t>姓名</t>
  </si>
  <si>
    <t>性別</t>
  </si>
  <si>
    <t>Email</t>
  </si>
  <si>
    <t>出生年</t>
  </si>
  <si>
    <t>月</t>
  </si>
  <si>
    <t>日</t>
  </si>
  <si>
    <t>行動電話</t>
  </si>
  <si>
    <t>市話</t>
  </si>
  <si>
    <t>分機</t>
  </si>
  <si>
    <t>縣市</t>
  </si>
  <si>
    <t>郵遞區號</t>
  </si>
  <si>
    <t>地址</t>
  </si>
  <si>
    <t>月子餐點調理喜好/飲食習慣：</t>
  </si>
  <si>
    <t>葷食</t>
  </si>
  <si>
    <t>素食</t>
  </si>
  <si>
    <t>可以接受中藥補品：□茶飲 □藥飲 □藥膳</t>
  </si>
  <si>
    <t>無法接受中藥補品</t>
  </si>
  <si>
    <t>[其它]</t>
  </si>
  <si>
    <t>呈上題，若遇無法媒合到葷食服務人員時，是否可以接受蛋奶素服務人員？</t>
  </si>
  <si>
    <t>2．餐飲含酒比例：</t>
  </si>
  <si>
    <t>全酒</t>
  </si>
  <si>
    <t>半酒</t>
  </si>
  <si>
    <t>米酒水</t>
  </si>
  <si>
    <t>無酒料理</t>
  </si>
  <si>
    <t>3．料理用油：(可接受種類)</t>
  </si>
  <si>
    <t>□苦茶油(前兩週)</t>
  </si>
  <si>
    <t>□麻油(後兩週)</t>
  </si>
  <si>
    <t>□橄欖油</t>
  </si>
  <si>
    <t>□一般食用油</t>
  </si>
  <si>
    <t>5媽咪有無過敏體質：</t>
  </si>
  <si>
    <t>特殊照護時應注意事項：</t>
  </si>
  <si>
    <t>餐點喜忌備註：</t>
  </si>
  <si>
    <t>烹煮工具</t>
  </si>
  <si>
    <t>□炒菜鍋</t>
  </si>
  <si>
    <t>□鐵鍋</t>
  </si>
  <si>
    <t>□大同電鍋</t>
  </si>
  <si>
    <t>□電子鍋</t>
  </si>
  <si>
    <t>□萬用壓力鍋</t>
  </si>
  <si>
    <t>□燉鍋/砂鍋</t>
  </si>
  <si>
    <t>□果汁機/調理棒</t>
  </si>
  <si>
    <t>□(煮/泡 洗澡大豐草/艾草水) 的鍋或盆</t>
  </si>
  <si>
    <t>□微波爐</t>
  </si>
  <si>
    <t>□烤箱</t>
  </si>
  <si>
    <t>□中藥壺</t>
  </si>
  <si>
    <t>□保溫壺(媽咪飲水)</t>
  </si>
  <si>
    <t>□熱奶器</t>
  </si>
  <si>
    <t>□奶瓶消毒鍋</t>
  </si>
  <si>
    <t>□洗碗機</t>
  </si>
  <si>
    <t>洗澡水準備：</t>
  </si>
  <si>
    <t>□一般熱水</t>
  </si>
  <si>
    <t>□薑水</t>
  </si>
  <si>
    <t>□中藥包</t>
  </si>
  <si>
    <t>哺乳方式：</t>
  </si>
  <si>
    <t>□母乳</t>
  </si>
  <si>
    <t>□配方奶</t>
  </si>
  <si>
    <t>□母乳+配方奶</t>
  </si>
  <si>
    <t>特殊計費:甲方同意需另支付當日薪資1倍予乙方。</t>
  </si>
  <si>
    <t>年節農曆過年初一</t>
  </si>
  <si>
    <t>年節農曆過年初二</t>
  </si>
  <si>
    <t>年節農曆過年初三</t>
  </si>
  <si>
    <t>端午節</t>
  </si>
  <si>
    <t>中秋節</t>
  </si>
  <si>
    <t>特殊計費:胎數</t>
  </si>
  <si>
    <t>透天服務樓層方式(會加收樓層費)</t>
  </si>
  <si>
    <t>1-2樓(+100/元)每日</t>
  </si>
  <si>
    <t>1-3樓(+200/元)每日</t>
  </si>
  <si>
    <t>大樓公寓無樓層問題</t>
  </si>
  <si>
    <t>提供服務人員轎車停車位</t>
  </si>
  <si>
    <t>有</t>
  </si>
  <si>
    <t>無(願意負擔停車費用)</t>
  </si>
  <si>
    <t>服務時間內是否有其他寶寶</t>
  </si>
  <si>
    <t>管理者註記事項</t>
  </si>
  <si>
    <t>訂單編號</t>
    <phoneticPr fontId="3" type="noConversion"/>
  </si>
  <si>
    <t>符合</t>
  </si>
  <si>
    <t/>
  </si>
  <si>
    <t>113000012</t>
  </si>
  <si>
    <t>113/09/25 19:05:27</t>
  </si>
  <si>
    <t>女</t>
  </si>
  <si>
    <t>補助市民</t>
  </si>
  <si>
    <t>8:30 - 12:30(4小時)</t>
  </si>
  <si>
    <t>113/10/30</t>
  </si>
  <si>
    <t>113/11/04</t>
  </si>
  <si>
    <t xml:space="preserve">_x000D_
</t>
  </si>
  <si>
    <t>透天</t>
  </si>
  <si>
    <t>自然產</t>
  </si>
  <si>
    <t>周休二日</t>
  </si>
  <si>
    <t>第二胎</t>
  </si>
  <si>
    <t>服務期間:113.10.25~113.12.06 (週休六,日) (8:30~12:304小時)</t>
  </si>
  <si>
    <t>100.100.00.100</t>
    <phoneticPr fontId="3" type="noConversion"/>
  </si>
  <si>
    <t>0900000001</t>
    <phoneticPr fontId="3" type="noConversion"/>
  </si>
  <si>
    <t>新竹市香山區</t>
    <phoneticPr fontId="3" type="noConversion"/>
  </si>
  <si>
    <t>03-12 18:20</t>
  </si>
  <si>
    <t>新竹市</t>
  </si>
  <si>
    <t>葷食、可以接受中藥補品：□茶飲 □藥飲 □藥膳</t>
  </si>
  <si>
    <t>Y</t>
  </si>
  <si>
    <t>無法接受</t>
  </si>
  <si>
    <t>□苦茶油(前兩週)、□麻油(後兩週)、□橄欖油、□一般食用油</t>
  </si>
  <si>
    <t>□無</t>
  </si>
  <si>
    <t>依需求協助</t>
  </si>
  <si>
    <t>口味不想重複</t>
  </si>
  <si>
    <t>□炒菜鍋、□大同電鍋、□微波爐、□烤箱、□熱奶器、□奶瓶消毒鍋</t>
  </si>
  <si>
    <t>[其它]無</t>
  </si>
  <si>
    <t>無</t>
  </si>
  <si>
    <t>1-2歲大寶</t>
  </si>
  <si>
    <t>--</t>
  </si>
  <si>
    <t>HC115011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</si>
</sst>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9"/>
      <color theme="1"/>
      <name val="Calibri"/>
      <family val="2"/>
    </font>
    <font>
      <sz val="9"/>
      <color theme="1"/>
      <name val="新細明體"/>
      <family val="1"/>
      <charset val="136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細明體"/>
      <family val="2"/>
      <charset val="136"/>
    </font>
    <font>
      <sz val="12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0" fontId="8" fillId="4" borderId="0" xfId="1" applyFont="1" applyFill="1"/>
    <xf numFmtId="0" fontId="7" fillId="5" borderId="1" xfId="2" applyFill="1" applyBorder="1"/>
    <xf numFmtId="0" fontId="8" fillId="4" borderId="0" xfId="2" applyFont="1" applyFill="1"/>
    <xf numFmtId="0" fontId="9" fillId="5" borderId="1" xfId="2" applyFont="1" applyFill="1" applyBorder="1"/>
    <xf numFmtId="49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1"/>
    <xf numFmtId="0" fontId="7" fillId="0" borderId="0" xfId="2"/>
  </cellXfs>
  <cellStyles count="3">
    <cellStyle name="一般" xfId="0" builtinId="0"/>
    <cellStyle name="一般 2 3" xfId="1" xr:uid="{FA96A0BF-2C2F-4725-878B-F9A7B29A23AC}"/>
    <cellStyle name="一般 6" xfId="2" xr:uid="{1B89DF75-45F1-478F-8C2C-16FF7CE73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>
      <selection activeCell="X2" sqref="X2"/>
    </sheetView>
  </sheetViews>
  <sheetFormatPr defaultRowHeight="14.95" x14ac:dyDescent="0.25"/>
  <cols>
    <col min="3" max="3" width="14.5" customWidth="1"/>
    <col min="6" max="6" width="16" customWidth="1"/>
    <col min="9" max="9" width="10.75" bestFit="1" customWidth="1"/>
    <col min="23" max="23" width="12.875" customWidth="1"/>
  </cols>
  <sheetData>
    <row r="1" spans="1:24" s="1" customFormat="1" ht="16.149999999999999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3</v>
      </c>
      <c r="X1" s="1" t="s">
        <v>22</v>
      </c>
    </row>
    <row r="2" spans="1:24" s="1" customFormat="1" ht="16.149999999999999" customHeight="1" x14ac:dyDescent="0.25">
      <c r="A2" s="1">
        <f t="shared" ref="A2" si="0">ROW(A2)-1</f>
        <v>1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114</v>
      </c>
      <c r="H2" s="2" t="s">
        <v>103</v>
      </c>
      <c r="I2" s="11" t="s">
        <v>115</v>
      </c>
      <c r="J2" s="3" t="str">
        <f>LEFT(RIGHT(LEFT(K2,6),3),2)</f>
        <v>香山</v>
      </c>
      <c r="K2" s="12" t="s">
        <v>116</v>
      </c>
      <c r="L2" s="1" t="s">
        <v>104</v>
      </c>
      <c r="M2" s="1" t="s">
        <v>105</v>
      </c>
      <c r="N2" s="1" t="s">
        <v>106</v>
      </c>
      <c r="O2" s="1" t="s">
        <v>107</v>
      </c>
      <c r="P2" s="4" t="s">
        <v>108</v>
      </c>
      <c r="Q2" s="1">
        <v>30</v>
      </c>
      <c r="R2" s="1" t="s">
        <v>109</v>
      </c>
      <c r="S2" s="1" t="s">
        <v>110</v>
      </c>
      <c r="T2" s="1" t="s">
        <v>111</v>
      </c>
      <c r="U2" s="1" t="s">
        <v>112</v>
      </c>
      <c r="W2" s="6" t="s">
        <v>101</v>
      </c>
      <c r="X2" s="1" t="s">
        <v>113</v>
      </c>
    </row>
  </sheetData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550C-6A85-4633-89A8-67CDC943236B}">
  <dimension ref="A1:CF2"/>
  <sheetViews>
    <sheetView tabSelected="1" workbookViewId="0">
      <selection activeCell="I12" sqref="I12"/>
    </sheetView>
  </sheetViews>
  <sheetFormatPr defaultRowHeight="14.95" x14ac:dyDescent="0.25"/>
  <cols>
    <col min="11" max="11" width="10.5" bestFit="1" customWidth="1"/>
    <col min="21" max="21" width="12.125" customWidth="1"/>
  </cols>
  <sheetData>
    <row r="1" spans="1:84" s="9" customFormat="1" ht="24.65" customHeight="1" x14ac:dyDescent="0.25">
      <c r="A1" s="7" t="s">
        <v>23</v>
      </c>
      <c r="B1" s="7" t="s">
        <v>24</v>
      </c>
      <c r="C1" s="7" t="s">
        <v>25</v>
      </c>
      <c r="D1" s="10" t="s">
        <v>98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39</v>
      </c>
      <c r="S1" s="7" t="s">
        <v>40</v>
      </c>
      <c r="T1" s="7" t="s">
        <v>41</v>
      </c>
      <c r="U1" s="7" t="s">
        <v>42</v>
      </c>
      <c r="V1" s="7" t="s">
        <v>43</v>
      </c>
      <c r="W1" s="7" t="s">
        <v>44</v>
      </c>
      <c r="X1" s="7" t="s">
        <v>45</v>
      </c>
      <c r="Y1" s="7" t="s">
        <v>46</v>
      </c>
      <c r="Z1" s="7" t="s">
        <v>47</v>
      </c>
      <c r="AA1" s="7" t="s">
        <v>48</v>
      </c>
      <c r="AB1" s="7" t="s">
        <v>49</v>
      </c>
      <c r="AC1" s="7" t="s">
        <v>43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43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59</v>
      </c>
      <c r="AO1" s="7" t="s">
        <v>60</v>
      </c>
      <c r="AP1" s="7" t="s">
        <v>61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  <c r="AY1" s="7" t="s">
        <v>70</v>
      </c>
      <c r="AZ1" s="7" t="s">
        <v>71</v>
      </c>
      <c r="BA1" s="7" t="s">
        <v>72</v>
      </c>
      <c r="BB1" s="7" t="s">
        <v>73</v>
      </c>
      <c r="BC1" s="7" t="s">
        <v>43</v>
      </c>
      <c r="BD1" s="7" t="s">
        <v>74</v>
      </c>
      <c r="BE1" s="7" t="s">
        <v>75</v>
      </c>
      <c r="BF1" s="7" t="s">
        <v>76</v>
      </c>
      <c r="BG1" s="7" t="s">
        <v>77</v>
      </c>
      <c r="BH1" s="7" t="s">
        <v>78</v>
      </c>
      <c r="BI1" s="7" t="s">
        <v>79</v>
      </c>
      <c r="BJ1" s="7" t="s">
        <v>80</v>
      </c>
      <c r="BK1" s="7" t="s">
        <v>81</v>
      </c>
      <c r="BL1" s="7" t="s">
        <v>43</v>
      </c>
      <c r="BM1" s="7" t="s">
        <v>82</v>
      </c>
      <c r="BN1" s="7" t="s">
        <v>83</v>
      </c>
      <c r="BO1" s="7" t="s">
        <v>84</v>
      </c>
      <c r="BP1" s="7" t="s">
        <v>85</v>
      </c>
      <c r="BQ1" s="7" t="s">
        <v>86</v>
      </c>
      <c r="BR1" s="7" t="s">
        <v>87</v>
      </c>
      <c r="BS1" s="7" t="s">
        <v>43</v>
      </c>
      <c r="BT1" s="7" t="s">
        <v>88</v>
      </c>
      <c r="BU1" s="7" t="s">
        <v>89</v>
      </c>
      <c r="BV1" s="7" t="s">
        <v>90</v>
      </c>
      <c r="BW1" s="7" t="s">
        <v>91</v>
      </c>
      <c r="BX1" s="7" t="s">
        <v>92</v>
      </c>
      <c r="BY1" s="7" t="s">
        <v>43</v>
      </c>
      <c r="BZ1" s="7" t="s">
        <v>93</v>
      </c>
      <c r="CA1" s="7" t="s">
        <v>94</v>
      </c>
      <c r="CB1" s="7" t="s">
        <v>95</v>
      </c>
      <c r="CC1" s="7" t="s">
        <v>43</v>
      </c>
      <c r="CD1" s="7" t="s">
        <v>96</v>
      </c>
      <c r="CE1" s="7" t="s">
        <v>97</v>
      </c>
    </row>
    <row r="2" spans="1:84" s="14" customFormat="1" ht="14.3" x14ac:dyDescent="0.25">
      <c r="A2" s="13">
        <v>17</v>
      </c>
      <c r="B2" s="13">
        <v>28755243</v>
      </c>
      <c r="C2" s="13" t="s">
        <v>117</v>
      </c>
      <c r="D2" s="8" t="s">
        <v>131</v>
      </c>
      <c r="E2" s="13"/>
      <c r="F2" s="13" t="s">
        <v>103</v>
      </c>
      <c r="G2" s="13"/>
      <c r="H2" s="13">
        <v>1989</v>
      </c>
      <c r="I2" s="13">
        <v>8</v>
      </c>
      <c r="J2" s="13">
        <v>2</v>
      </c>
      <c r="K2" s="13"/>
      <c r="L2" s="13"/>
      <c r="M2" s="13"/>
      <c r="N2" s="13" t="s">
        <v>118</v>
      </c>
      <c r="O2" s="13">
        <v>300</v>
      </c>
      <c r="P2" s="13"/>
      <c r="Q2" s="13" t="s">
        <v>119</v>
      </c>
      <c r="R2" s="13" t="s">
        <v>120</v>
      </c>
      <c r="S2" s="13"/>
      <c r="T2" s="13" t="s">
        <v>120</v>
      </c>
      <c r="U2" s="13"/>
      <c r="V2" s="13"/>
      <c r="W2" s="13"/>
      <c r="X2" s="13" t="s">
        <v>121</v>
      </c>
      <c r="Y2" s="13" t="s">
        <v>47</v>
      </c>
      <c r="Z2" s="13"/>
      <c r="AA2" s="13" t="s">
        <v>120</v>
      </c>
      <c r="AB2" s="13"/>
      <c r="AC2" s="13"/>
      <c r="AD2" s="13"/>
      <c r="AE2" s="13" t="s">
        <v>122</v>
      </c>
      <c r="AF2" s="13" t="s">
        <v>120</v>
      </c>
      <c r="AG2" s="13" t="s">
        <v>120</v>
      </c>
      <c r="AH2" s="13" t="s">
        <v>120</v>
      </c>
      <c r="AI2" s="13" t="s">
        <v>120</v>
      </c>
      <c r="AJ2" s="13"/>
      <c r="AK2" s="13" t="s">
        <v>123</v>
      </c>
      <c r="AL2" s="13" t="s">
        <v>124</v>
      </c>
      <c r="AM2" s="13" t="s">
        <v>125</v>
      </c>
      <c r="AN2" s="13" t="s">
        <v>126</v>
      </c>
      <c r="AO2" s="13" t="s">
        <v>120</v>
      </c>
      <c r="AP2" s="13"/>
      <c r="AQ2" s="13" t="s">
        <v>120</v>
      </c>
      <c r="AR2" s="13"/>
      <c r="AS2" s="13"/>
      <c r="AT2" s="13"/>
      <c r="AU2" s="13"/>
      <c r="AV2" s="13"/>
      <c r="AW2" s="13" t="s">
        <v>120</v>
      </c>
      <c r="AX2" s="13" t="s">
        <v>120</v>
      </c>
      <c r="AY2" s="13"/>
      <c r="AZ2" s="13"/>
      <c r="BA2" s="13" t="s">
        <v>120</v>
      </c>
      <c r="BB2" s="13" t="s">
        <v>120</v>
      </c>
      <c r="BC2" s="13"/>
      <c r="BD2" s="13"/>
      <c r="BE2" s="13" t="s">
        <v>77</v>
      </c>
      <c r="BF2" s="13"/>
      <c r="BG2" s="13"/>
      <c r="BH2" s="13" t="s">
        <v>120</v>
      </c>
      <c r="BI2" s="13" t="s">
        <v>81</v>
      </c>
      <c r="BJ2" s="13"/>
      <c r="BK2" s="13"/>
      <c r="BL2" s="13" t="s">
        <v>120</v>
      </c>
      <c r="BM2" s="13"/>
      <c r="BN2" s="13" t="s">
        <v>127</v>
      </c>
      <c r="BO2" s="13"/>
      <c r="BP2" s="13"/>
      <c r="BQ2" s="13"/>
      <c r="BR2" s="13"/>
      <c r="BS2" s="13"/>
      <c r="BT2" s="13" t="s">
        <v>128</v>
      </c>
      <c r="BU2" s="13"/>
      <c r="BV2" s="13" t="s">
        <v>92</v>
      </c>
      <c r="BW2" s="13"/>
      <c r="BX2" s="13"/>
      <c r="BY2" s="13" t="s">
        <v>120</v>
      </c>
      <c r="BZ2" s="13"/>
      <c r="CA2" s="13" t="s">
        <v>94</v>
      </c>
      <c r="CB2" s="13" t="s">
        <v>120</v>
      </c>
      <c r="CC2" s="13"/>
      <c r="CD2" s="13"/>
      <c r="CE2" s="13" t="s">
        <v>129</v>
      </c>
      <c r="CF2" s="13" t="s">
        <v>130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HCM 月子平台 -市府</vt:lpstr>
      <vt:lpstr>beclass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2026-06-22T01:45:32Z</dcterms:modified>
</cp:coreProperties>
</file>