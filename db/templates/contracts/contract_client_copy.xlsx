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客戶契約"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<sst xmlns="http://schemas.openxmlformats.org/spreadsheetml/2006/main" count="273" uniqueCount="238">
  <si>
    <t xml:space="preserve">新竹市月子照顧服務人員職業工會坐月子到府服務定型化契約書</t>
  </si>
  <si>
    <t xml:space="preserve">訂單編號((市府表單))</t>
  </si>
  <si>
    <t xml:space="preserve">■月子服務□到府管家</t>
  </si>
  <si>
    <t xml:space="preserve">補助資格說明：</t>
  </si>
  <si>
    <t xml:space="preserve">本補助方案之生效，以新竹市政府核定之補助資格為準；凡未經核定或資格不符者，本方案不具法律約束力。</t>
  </si>
  <si>
    <t xml:space="preserve">訂金匯款須知： </t>
  </si>
  <si>
    <t xml:space="preserve">請於下單後 5 日內完成訂金匯款。逾期未入帳者，系統將自動取消該訂單及相關服務計畫，且不保留原定服務人員與時段。</t>
  </si>
  <si>
    <t xml:space="preserve">雙方同意訂立條款如下:</t>
  </si>
  <si>
    <t xml:space="preserve">第一章 契約基本事項</t>
  </si>
  <si>
    <t xml:space="preserve">本契約於 </t>
  </si>
  <si>
    <t xml:space="preserve">TODAY()</t>
  </si>
  <si>
    <t xml:space="preserve">經甲方攜回審閱五日(契約審閱期間至少為五日)</t>
  </si>
  <si>
    <t xml:space="preserve">申請人甲方簽名:</t>
  </si>
  <si>
    <t xml:space="preserve">客戶名稱(市府表單)</t>
  </si>
  <si>
    <t xml:space="preserve">(親簽)</t>
  </si>
  <si>
    <t xml:space="preserve">預產期(市府表單)</t>
  </si>
  <si>
    <t xml:space="preserve">為甲方預產期，服務時間為甲方出院回府後開始服務計算期滿為止。</t>
  </si>
  <si>
    <t xml:space="preserve">服務平台派選服務人員:</t>
  </si>
  <si>
    <t xml:space="preserve">服務人員(綁定好的服務人員)</t>
  </si>
  <si>
    <t xml:space="preserve">服務 (以下簡稱受託人乙方)</t>
  </si>
  <si>
    <t xml:space="preserve">第二章 平台責任與權利</t>
  </si>
  <si>
    <t xml:space="preserve">1.平台責任</t>
  </si>
  <si>
    <t xml:space="preserve">提供合法合規之照顧服務媒合與管理。"</t>
  </si>
  <si>
    <t xml:space="preserve">建立服務品質監督機制，包括隨機抽查與定期評估。"</t>
  </si>
  <si>
    <t xml:space="preserve">妥善保存並保護委託人及受照顧者之個人資料。"</t>
  </si>
  <si>
    <t xml:space="preserve">服務期間提供服務人員意外責任險。"</t>
  </si>
  <si>
    <t xml:space="preserve">2.平台權力</t>
  </si>
  <si>
    <t xml:space="preserve">得因委託人或受照顧者違反契約而終止服務。"</t>
  </si>
  <si>
    <t xml:space="preserve">得依政府規範調整服務內容與流程。"</t>
  </si>
  <si>
    <t xml:space="preserve">第三章 委託人與受照顧者</t>
  </si>
  <si>
    <t xml:space="preserve">委託人如未滿二十歲且未結婚，應得其法定代理人之同意，契約方生效。"</t>
  </si>
  <si>
    <t xml:space="preserve">本服務以照顧新生兒及產婦為主，委託人不得任意增加受照顧人數；受照顧者如需增加，應另行收費。</t>
  </si>
  <si>
    <t xml:space="preserve">本契約照顧新生兒:</t>
  </si>
  <si>
    <t xml:space="preserve">一、委託日期_</t>
  </si>
  <si>
    <t xml:space="preserve">開始日期(市府表單)</t>
  </si>
  <si>
    <t xml:space="preserve">至</t>
  </si>
  <si>
    <t xml:space="preserve">結束日期(市府表單)</t>
  </si>
  <si>
    <t xml:space="preserve">服務總天數:</t>
  </si>
  <si>
    <t xml:space="preserve">希望服務天數(市府表單)</t>
  </si>
  <si>
    <t xml:space="preserve">二、費用單價:</t>
  </si>
  <si>
    <t xml:space="preserve">雇主單價(訂單系統)</t>
  </si>
  <si>
    <t xml:space="preserve">元</t>
  </si>
  <si>
    <t xml:space="preserve"> </t>
  </si>
  <si>
    <t xml:space="preserve">服務總時數:</t>
  </si>
  <si>
    <t xml:space="preserve">時數(市府表單)</t>
  </si>
  <si>
    <t xml:space="preserve">★★★依實際服務日期調整 如遇委託人（雇主）提前或延後生產，致原服務人員無法如期提供服務時，本平台有權依實際情況更換服務人員，以確保服務得以持續進行。</t>
  </si>
  <si>
    <t xml:space="preserve">款項</t>
  </si>
  <si>
    <t xml:space="preserve">時數</t>
  </si>
  <si>
    <t xml:space="preserve">匯款日期</t>
  </si>
  <si>
    <t xml:space="preserve">（市民方案每日最高補助4小時每小時NT$300 *雙胞胎每小時NT$450）</t>
  </si>
  <si>
    <t xml:space="preserve">市府補助</t>
  </si>
  <si>
    <t xml:space="preserve">補助時數(訂單系統)</t>
  </si>
  <si>
    <t xml:space="preserve">待請領</t>
  </si>
  <si>
    <t xml:space="preserve">  每日服務時數:</t>
  </si>
  <si>
    <t xml:space="preserve">服務時段(市府表單)</t>
  </si>
  <si>
    <t xml:space="preserve">三、自費服務時數及費用單價:</t>
  </si>
  <si>
    <t xml:space="preserve">服務時薪費用:</t>
  </si>
  <si>
    <t xml:space="preserve">服務單價(訂單系統)</t>
  </si>
  <si>
    <t xml:space="preserve">天數:</t>
  </si>
  <si>
    <t xml:space="preserve"> 請款時數:</t>
  </si>
  <si>
    <t xml:space="preserve">費用合計:</t>
  </si>
  <si>
    <t xml:space="preserve">元整</t>
  </si>
  <si>
    <t xml:space="preserve">□其他 年節(農曆過年(初一、初二、初三)、端午節、中秋節 休假</t>
  </si>
  <si>
    <t xml:space="preserve">特殊假日:</t>
  </si>
  <si>
    <t xml:space="preserve">特殊休假(訂單系統)</t>
  </si>
  <si>
    <t xml:space="preserve">甲方於年節(農曆過年(初一、初二、初三)、端午節、中秋節)仍需服務者，甲方同意需另支付當日薪資1倍予乙方。</t>
  </si>
  <si>
    <t xml:space="preserve">金額</t>
  </si>
  <si>
    <t xml:space="preserve">市府市府登記案號:  </t>
  </si>
  <si>
    <t xml:space="preserve">政府編號(市府表單)</t>
  </si>
  <si>
    <t xml:space="preserve">訂金</t>
  </si>
  <si>
    <t xml:space="preserve">訂金(訂單系統)</t>
  </si>
  <si>
    <t xml:space="preserve">訂金日期(訂單系統)</t>
  </si>
  <si>
    <t xml:space="preserve">雇主登記MAIL: </t>
  </si>
  <si>
    <t xml:space="preserve">Email(市府表單)</t>
  </si>
  <si>
    <t xml:space="preserve">第一期款</t>
  </si>
  <si>
    <t xml:space="preserve">第一期款(訂單系統)</t>
  </si>
  <si>
    <t xml:space="preserve">第一期款入帳日(訂單系統)</t>
  </si>
  <si>
    <t xml:space="preserve">服務款項匯款帳號：(代收付)</t>
  </si>
  <si>
    <t xml:space="preserve">第二期款</t>
  </si>
  <si>
    <t xml:space="preserve">第二期款(訂單系統)</t>
  </si>
  <si>
    <t xml:space="preserve">第二期款入帳日(訂單系統)</t>
  </si>
  <si>
    <t xml:space="preserve">還不確定要給哪個帳號</t>
  </si>
  <si>
    <t xml:space="preserve">樓層費用</t>
  </si>
  <si>
    <t xml:space="preserve">樓層費用(訂單系統)</t>
  </si>
  <si>
    <t xml:space="preserve">新竹市月子照顧服務人員職業工會</t>
  </si>
  <si>
    <t xml:space="preserve">總計金額:</t>
  </si>
  <si>
    <t xml:space="preserve">雇主自費合計金額(訂單系統)</t>
  </si>
  <si>
    <t xml:space="preserve">應匯款項 (逾時未匯款者，乙方可暫停合約。) </t>
  </si>
  <si>
    <t xml:space="preserve">服務天數:</t>
  </si>
  <si>
    <t xml:space="preserve">補助款退款作業:
服務完成後,工會協助提出申請, 主管單位核發後轉入雇主帳戶</t>
  </si>
  <si>
    <t xml:space="preserve">市府補助金額</t>
  </si>
  <si>
    <t xml:space="preserve">補助薪資(訂單系統)</t>
  </si>
  <si>
    <t xml:space="preserve">雇主帳號: 銀行代號+分行代號(BECLASS)</t>
  </si>
  <si>
    <t xml:space="preserve">銀行帳號(BECLASS)</t>
  </si>
  <si>
    <t xml:space="preserve">備註:</t>
  </si>
  <si>
    <t xml:space="preserve">服務方式(市府表單)</t>
  </si>
  <si>
    <t xml:space="preserve">寶寶資訊(市府表單)</t>
  </si>
  <si>
    <t xml:space="preserve">生產方式(市府表單)</t>
  </si>
  <si>
    <t xml:space="preserve">居住型態(市府表單)</t>
  </si>
  <si>
    <t xml:space="preserve">其他備註(市府表單)</t>
  </si>
  <si>
    <t xml:space="preserve">四、服務地點</t>
  </si>
  <si>
    <t xml:space="preserve">1. 地址：                                                                                                        </t>
  </si>
  <si>
    <t xml:space="preserve">地址(市府表單)</t>
  </si>
  <si>
    <t xml:space="preserve">2. 乙方得進入之服務空間：</t>
  </si>
  <si>
    <t xml:space="preserve">除產婦及嬰兒房間、廚房、客廳、浴室之外，其餘房間若要進入需事先告知甲方。</t>
  </si>
  <si>
    <t xml:space="preserve">五、委託內容</t>
  </si>
  <si>
    <t xml:space="preserve">乙方接受甲方委託於指定場所，善盡乙方之職責，依甲方指示提供以下服務：</t>
  </si>
  <si>
    <t xml:space="preserve">(於時間內安排內以下服務內容)</t>
  </si>
  <si>
    <t xml:space="preserve">請提供移動式寶寶可以休息的推車或床,讓服務人員可以隨時注意寶寶</t>
  </si>
  <si>
    <t xml:space="preserve">4小時服務工作說明(讓媽咪喘息2-3小時)</t>
  </si>
  <si>
    <t xml:space="preserve">9:00-13:00或1:00-17:00 主要負責新生兒照顧餵奶、拍嗝、安撫情緒、更換衣物、尿布、嬰兒沐浴、臍帶護理及月子餐食(1餐) 簡單清潔工作範圍內維持基本的乾淨</t>
  </si>
  <si>
    <t xml:space="preserve">8小時服務工作說明(會依照寶寶作息時間調整餐食及作業時間)</t>
  </si>
  <si>
    <t xml:space="preserve">一、產婦護理照顧： </t>
  </si>
  <si>
    <t xml:space="preserve">(1)照顧產婦及新生嬰兒部分：</t>
  </si>
  <si>
    <t xml:space="preserve">選項</t>
  </si>
  <si>
    <t xml:space="preserve">項目</t>
  </si>
  <si>
    <t xml:space="preserve">內容</t>
  </si>
  <si>
    <t xml:space="preserve">(2)簡單家事清潔</t>
  </si>
  <si>
    <t xml:space="preserve">爐具於使用後保持不油膩乾淨為主，乙方下班前完成餐具清洗，廚餘部分可協助整理)
★ 浴室清潔：維持浴室地板乾淨、馬桶簡易刷洗(不包含牆壁、洗臉台與浴缸)</t>
  </si>
  <si>
    <t xml:space="preserve">(3)衣物清潔</t>
  </si>
  <si>
    <t xml:space="preserve">(4)餐食服務</t>
  </si>
  <si>
    <t xml:space="preserve">(5)代購服務</t>
  </si>
  <si>
    <t xml:space="preserve">雙胞胎4-8小時服務工作說明</t>
  </si>
  <si>
    <t xml:space="preserve">主要負責新生兒照顧餵奶、拍嗝、安撫情緒、更換衣物、尿布、嬰兒沐浴、臍帶護理(8小時服務如有其他照顧者可提供1次餐食)</t>
  </si>
  <si>
    <t xml:space="preserve">新生兒照護*2</t>
  </si>
  <si>
    <t xml:space="preserve">新生兒照護、嬰兒沐浴、臍帶護理</t>
  </si>
  <si>
    <t xml:space="preserve">新生兒照顧*2</t>
  </si>
  <si>
    <t xml:space="preserve">餵奶、拍嗝、安撫情緒、更換衣物、尿布</t>
  </si>
  <si>
    <t xml:space="preserve">衛生管理*2</t>
  </si>
  <si>
    <t xml:space="preserve">奶瓶消毒、清潔</t>
  </si>
  <si>
    <t xml:space="preserve">產婦護理</t>
  </si>
  <si>
    <t xml:space="preserve">協助產婦子宮按摩/疏乳</t>
  </si>
  <si>
    <t xml:space="preserve">(2)衣物清潔</t>
  </si>
  <si>
    <t xml:space="preserve">新生兒衣物*2</t>
  </si>
  <si>
    <t xml:space="preserve">紗布衣、紗布巾貼身衣物以手洗為主(30*30公分(含)</t>
  </si>
  <si>
    <t xml:space="preserve">(3)餐食服務</t>
  </si>
  <si>
    <t xml:space="preserve">餐點提供</t>
  </si>
  <si>
    <t xml:space="preserve">4-8小時服務一日一餐（午或晚）</t>
  </si>
  <si>
    <t xml:space="preserve">飲食偏好</t>
  </si>
  <si>
    <t xml:space="preserve">可依甲方需求準備,4小時無甜品製作</t>
  </si>
  <si>
    <t xml:space="preserve">基本飲品</t>
  </si>
  <si>
    <t xml:space="preserve">養肝茶、杜仲茶每日熬煮一次</t>
  </si>
  <si>
    <t xml:space="preserve">基本湯品</t>
  </si>
  <si>
    <t xml:space="preserve">四物、八珍、十全每日熬煮一次</t>
  </si>
  <si>
    <t xml:space="preserve">藥膳料理</t>
  </si>
  <si>
    <t xml:space="preserve">每日烹煮以產婦月餐(三菜1湯)為主</t>
  </si>
  <si>
    <t xml:space="preserve">2.乙方照顧受照顧者時，對於孩童之保護教養有關事項，應依甲方指示，同時應向甲方告知受照顧者於乙方照顧期間所發生之重要事故或異常現象。</t>
  </si>
  <si>
    <t xml:space="preserve">3.乙方不得將甲方及其家人隱私透露於他人所知，但為維護兒童最佳利益及盡法律責任所必要者，不在此限。</t>
  </si>
  <si>
    <t xml:space="preserve">4.乙方未經甲方同意不得無故將受照顧者帶離開照顧地點。</t>
  </si>
  <si>
    <t xml:space="preserve">5.乙方未經甲方允許不得於工作時間聊天或處理私人事務及另帶他人至甲方家中。</t>
  </si>
  <si>
    <t xml:space="preserve">6.乙方未經甲方允許不得動用甲方家中非用於幼兒照顧之物品及進入甲方家中非幼兒照顧之空間。</t>
  </si>
  <si>
    <t xml:space="preserve">7.乙方應維持照顧空間原有樣貌。</t>
  </si>
  <si>
    <t xml:space="preserve">8.乙方保證無以下事項：</t>
  </si>
  <si>
    <t xml:space="preserve">★★虐待兒童及詐欺、竊盜等前科★★傳染性疾病★★躁鬱症等精神疾病</t>
  </si>
  <si>
    <t xml:space="preserve">9.上述事項如應告知而未告知者，造成甲方及孩童發生任何損害，概由服務人員負責。</t>
  </si>
  <si>
    <t xml:space="preserve">10.乙方(服務人員)若在照顧期間，如有爭議事件，經專業第三方認定為乙方缺失，乙方(服務人員)對委託人應負賠償責任。</t>
  </si>
  <si>
    <t xml:space="preserve">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</si>
  <si>
    <t xml:space="preserve">12.委託人責任:委託人應負責服務地點所需設備、環境及場地之安全，並應指導服務人員正確使用方式。委託人（甲方）平時應善盡設施設備之維護責任，以確保居家安全。</t>
  </si>
  <si>
    <t xml:space="preserve">13.電器設備及電線線路…等可能影響居家安全，因此設施設備的維護極為重要。平時甲方(委託人)應善盡維護的責任，服務人員於使用時需小心謹慎，避免損壞。</t>
  </si>
  <si>
    <t xml:space="preserve">14.服務人員責任:服務人員於使用委託人提供之設備時，應小心謹慎，妥善照顧並避免損壞。委託人應負責服務地點所需設備、環境及場地的安全並指導使用方式，服務人員應負妥善照顧之責任。</t>
  </si>
  <si>
    <t xml:space="preserve">物品損壞爭議處理</t>
  </si>
  <si>
    <t xml:space="preserve">處理方式</t>
  </si>
  <si>
    <t xml:space="preserve">購買證明</t>
  </si>
  <si>
    <t xml:space="preserve">委託人需提供購買證明及金額。</t>
  </si>
  <si>
    <t xml:space="preserve">折舊計算</t>
  </si>
  <si>
    <t xml:space="preserve">若服務人員請假(除不可抗拒之情事)應於提前7日告知甲方及工會甲方如需代班人員工會調派替代服務人員</t>
  </si>
  <si>
    <t xml:space="preserve">協議處理</t>
  </si>
  <si>
    <t xml:space="preserve">按照設備使用期限及折舊金額計算。</t>
  </si>
  <si>
    <t xml:space="preserve">特殊規範</t>
  </si>
  <si>
    <t xml:space="preserve">雙方依據上述資料協議賠償事宜。</t>
  </si>
  <si>
    <t xml:space="preserve">爭議解決</t>
  </si>
  <si>
    <t xml:space="preserve">若因服務人員使用不當導致損壞，依折舊後價格 1/3–2/3 賠償；若為正常使用下毀損，則無須賠償。</t>
  </si>
  <si>
    <t xml:space="preserve">甲方責任(雇主):</t>
  </si>
  <si>
    <t xml:space="preserve">如有爭議，甲乙雙方逕送新竹市調解委員會調解。</t>
  </si>
  <si>
    <t xml:space="preserve">1.甲方應按約定時間，準時與照顧人員交接受照顧者，逾時及臨時延時照顧時，應依前開約定支付費用。</t>
  </si>
  <si>
    <t xml:space="preserve">2.委託人應提供受照顧者照顧期間所需之活動、飲食、就寢…等照顧必要之用品。孩童必需品耗盡而委託人未補給時，服務人員需先告知委託人提早添購備用。</t>
  </si>
  <si>
    <t xml:space="preserve">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</si>
  <si>
    <t xml:space="preserve">★★有無過敏體質：□無□有，何種狀況：換季過敏.流鼻水</t>
  </si>
  <si>
    <t xml:space="preserve">★★過敏類別：</t>
  </si>
  <si>
    <t xml:space="preserve">食物:                          □藥物：                □動物□花粉□塵蟎□其他＿＿＿＿＿＿＿＿＿＿＿</t>
  </si>
  <si>
    <t xml:space="preserve">★★有無下列疾病或狀況： ◆健保手冊應置於家中以供使用◆</t>
  </si>
  <si>
    <t xml:space="preserve">□有(□氣喘 □癲癎 □蠶豆症□心臟病□蕁麻疹□慢性支氣管炎 □異位性皮膚炎□熱性痙攣□慢性中耳炎□唐氏症 □早產 □腦性麻痺£發展遲緩□自閉症 □過動 □聽 □視障 □其他：　　　　　　　　　　  　　照護應注意事項：                          </t>
  </si>
  <si>
    <t xml:space="preserve">特殊飲食習慣：□無　□有:                                                          </t>
  </si>
  <si>
    <t xml:space="preserve">4.曾接外科手術□無 □有，病名：                        照護須注意事項：   　        </t>
  </si>
  <si>
    <t xml:space="preserve">其他應注意的健康狀況：</t>
  </si>
  <si>
    <t xml:space="preserve">產前憂鬱症□無  □有</t>
  </si>
  <si>
    <t xml:space="preserve">委託人保證以下事項：</t>
  </si>
  <si>
    <t xml:space="preserve">★★對受託兒童有親權或監護權。</t>
  </si>
  <si>
    <t xml:space="preserve">★★妥善保護照顧人員個人資料不外洩。</t>
  </si>
  <si>
    <t xml:space="preserve">★★與受照顧者之關係為，如有改變，應立即通知照顧人員。</t>
  </si>
  <si>
    <t xml:space="preserve">★★同住家人無傳染性疾病、精神疾病、暴力傷害傾向。</t>
  </si>
  <si>
    <t xml:space="preserve">5.為使照顧品質提高，且是月子照顧期間的依據，甲方有義務協助填寫ＢＡＢＹ　生活記錄表　</t>
  </si>
  <si>
    <t xml:space="preserve">6.服務人員於廚房作業期間，甲方應提供通風良好的工作環境，以維護人員安全與作業品質。</t>
  </si>
  <si>
    <t xml:space="preserve">七、委託之報酬費用及解約費用：</t>
  </si>
  <si>
    <t xml:space="preserve">1.如有加班時，每一小時以$400元計算下班時間超過半小時,以1個小時費用計算)計算方式:下班時間超過15分鐘計薪半小時,超過30分鐘以1個小時費用計算 。(依照寶寶日誌為主)</t>
  </si>
  <si>
    <t xml:space="preserve">2.若服務人員有遲到或是早退之情形，甲方可要求彈性延後補足服務時數。</t>
  </si>
  <si>
    <t xml:space="preserve">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</si>
  <si>
    <t xml:space="preserve">4.若工作期未滿即要求終止服務，若因服務人員個人因素及行為不當下終止契約，工會調派其他服務人員到府接替，另訂契約至期滿為止</t>
  </si>
  <si>
    <t xml:space="preserve">5.付費方式採用分期付款方式，若該付款當日未收到款項，會先以簡訊提醒，若隔2日後仍未收到款項服務人員將會先行撤出，敬請原諒。</t>
  </si>
  <si>
    <t xml:space="preserve">6.若服務人員請假(除不可抗拒之情事)應於提前7日告知甲方及工會，甲方如需代班人員工會調派替代服務人員</t>
  </si>
  <si>
    <t xml:space="preserve">八、乙方餐食及休憩時間：乙方於8小時服務期間內午休息30分鐘,午餐由雇主負擔</t>
  </si>
  <si>
    <t xml:space="preserve">九、緊急事故與處理：</t>
  </si>
  <si>
    <t xml:space="preserve">1.如遇急症、重病或意外事件時，乙方應立即予以適當救護或處理，並應立即撥打119求救同時通知甲方之緊急聯絡人。</t>
  </si>
  <si>
    <t xml:space="preserve">2.無法及時通知或無法連繫時，乙方應先依甲方之最佳利益作必要之處理，並繼續前項之緊急聯絡。</t>
  </si>
  <si>
    <t xml:space="preserve">3.如有送醫治療時，應優先送往下列甲方所指定之醫院就醫診治。委託人指定之醫院如下：</t>
  </si>
  <si>
    <t xml:space="preserve">甲方緊急聯絡人:                    電話:                 醫院 : ＿＿＿＿＿＿＿＿＿＿                   </t>
  </si>
  <si>
    <t xml:space="preserve">前項所衍生之費用，除因可歸責於乙方事由所生事故外，全部費用應由甲方負擔。</t>
  </si>
  <si>
    <t xml:space="preserve">乙方應提供緊急聯絡電話或緊急聯絡人給甲方以利於委任期間所發生事故時緊急聯絡；</t>
  </si>
  <si>
    <t xml:space="preserve">4.乙方服務人員應於委任簽訂契約時,提供健康檢查之證明，及相關證照和身分證明文件核對。</t>
  </si>
  <si>
    <t xml:space="preserve">5.乙方服務人員工作期間可能使用到的相關廚具及機器，甲方應先行教導使用方式。甲方應將貴重之廚房用品以及餐盤收置妥當，而乙方服務人員在使用上應愛惜小心，在提供的服務資源用品上以不浪費為前提做為使用。</t>
  </si>
  <si>
    <t xml:space="preserve">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</si>
  <si>
    <t xml:space="preserve">十、注意事項</t>
  </si>
  <si>
    <t xml:space="preserve">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</si>
  <si>
    <t xml:space="preserve">2.如遇委託人(甲方)與乙方服務人員(乙方)雙方無法適應時，工會將依照委託人(甲方)或服務人員(乙方)意願提供更換人員。人員更換後將無法保障優先挑選人員權。</t>
  </si>
  <si>
    <t xml:space="preserve">3.更換服務人員原則，工會保障優先預訂委託人保有整個段落都由同一人員服務，但若提早2星期生產或產後才延後入場時間超過7天則不在此限。</t>
  </si>
  <si>
    <t xml:space="preserve">4.請於待產時(生產日)便告知入院生產工會需3天時間做人員的投保勿於出院當日或前一日才告知要進場服務。</t>
  </si>
  <si>
    <t xml:space="preserve">5.若於合約期間更改服務地點與服務方式，工會將無法保證有服務人員可以提供服務，若因無服務人員可以前往而需退還訂金，將依照第十條訂金退費原則辦理，請於訂金退費期限之前告知。</t>
  </si>
  <si>
    <t xml:space="preserve">6.服務的滿意度偏屬於個人的主觀意識，若服務人員個人不當行為而與雇主相處無法適應時，經調解還尚未改善(至少一周)工會應將會媒合其他人員替換。</t>
  </si>
  <si>
    <t xml:space="preserve">7.如遇縣市政府公告颱風放颱風假， 因考量乙方服務人員的安全, 則依公告放假。如遇大風  大雨，考量乙方服務人員安全，亦雙方協議放假。   </t>
  </si>
  <si>
    <t xml:space="preserve">8.禁止獨留月子服務人員
▸ 雇主不可在服務期間將「到府月嫂」與新生兒單獨留在家中。
▸ 違規者服務人員依規立即通報並終止服務，且政府補助資格將被取消。</t>
  </si>
  <si>
    <t xml:space="preserve">9.夏季天氣炎熱，為保障服務人員的健康與安全及服務人員出現中暑情況，敬請各位雇主協助配合，請將工作場所空調溫度恆溫在29度以下，並搭配循環風扇使用，以促進空氣流通、有效降溫。</t>
  </si>
  <si>
    <t xml:space="preserve">十、訂金退費原則：</t>
  </si>
  <si>
    <t xml:space="preserve">1.   付訂10日內如有個人因素要取消合約，甲方需負擔10%手續費用,訂金餘款退回且取消補助款資格。</t>
  </si>
  <si>
    <t xml:space="preserve">2.   簽約10日後如因委託人(甲方)之個人因素，需於預產期前60天告知，可退回訂金50%且取消補助款資格。</t>
  </si>
  <si>
    <t xml:space="preserve">3.   如因不可抗拒之因素，需提供醫生證明文件，可退回訂金全額。</t>
  </si>
  <si>
    <t xml:space="preserve">以上，為合約內容，於乙方服務人員到府服務日開始生效。並於服務期間工會指導人員會不定期至雇主家查訪及客戶滿意度調查,工會會先與雇主聯絡查訪日期及告知到府指導人員姓名。</t>
  </si>
  <si>
    <t xml:space="preserve">委託人(甲方)：</t>
  </si>
  <si>
    <t xml:space="preserve"> (簽章) 電話： </t>
  </si>
  <si>
    <t xml:space="preserve">客戶電話(市府表單)</t>
  </si>
  <si>
    <t xml:space="preserve">出生年月日：</t>
  </si>
  <si>
    <t xml:space="preserve"> 身分證字號： </t>
  </si>
  <si>
    <t xml:space="preserve">地址：</t>
  </si>
  <si>
    <t xml:space="preserve">服務人員(乙方)：</t>
  </si>
  <si>
    <t xml:space="preserve"> (簽章)</t>
  </si>
  <si>
    <t xml:space="preserve">媒合單位：新竹市月子照顧服務人員職業工會  地址: 新竹市東區北大路22號4樓之2</t>
  </si>
  <si>
    <t xml:space="preserve">工會指導專員：_______ __________ (簽章)</t>
  </si>
  <si>
    <t xml:space="preserve">電話：(03)526-5126  / 0936345183    LINE ID:5313176 </t>
  </si>
  <si>
    <t xml:space="preserve">立約日期:  </t>
  </si>
</sst>
</file>

<file path=xl/styles.xml><?xml version="1.0" encoding="utf-8"?>
<styleSheet xmlns="http://schemas.openxmlformats.org/spreadsheetml/2006/main">
  <numFmts count="10">
    <numFmt numFmtId="164" formatCode="General"/>
    <numFmt numFmtId="165" formatCode="yyyy/m/d"/>
    <numFmt numFmtId="166" formatCode="[DBNum2][$-404]General"/>
    <numFmt numFmtId="167" formatCode="&quot;NT$&quot;#,##0;[RED]&quot;NT$&quot;#,##0"/>
    <numFmt numFmtId="168" formatCode="[$-404]e/m/d;@"/>
    <numFmt numFmtId="169" formatCode="_-* #,##0_-;\-* #,##0_-;_-* \-??_-;_-@_-"/>
    <numFmt numFmtId="170" formatCode="\$#,##0_);[RED]&quot;($&quot;#,##0\)"/>
    <numFmt numFmtId="171" formatCode="[$-404]General"/>
    <numFmt numFmtId="172" formatCode="@"/>
    <numFmt numFmtId="173" formatCode="[$-404]ggge\年m\月d\日;@"/>
  </numFmts>
  <fonts count="38">
    <font>
      <sz val="11"/>
      <color theme="1"/>
      <name val="Noto Sans TC"/>
      <family val="2"/>
      <charset val="136"/>
    </font>
    <font>
      <sz val="10"/>
      <name val="Arial"/>
      <family val="0"/>
      <charset val="136"/>
    </font>
    <font>
      <sz val="10"/>
      <name val="Arial"/>
      <family val="0"/>
      <charset val="136"/>
    </font>
    <font>
      <sz val="10"/>
      <name val="Arial"/>
      <family val="0"/>
      <charset val="136"/>
    </font>
    <font>
      <b val="true"/>
      <sz val="16"/>
      <color rgb="FF000000"/>
      <name val="標楷體"/>
      <family val="0"/>
      <charset val="1"/>
    </font>
    <font>
      <sz val="12"/>
      <color theme="1"/>
      <name val="標楷體"/>
      <family val="0"/>
      <charset val="1"/>
    </font>
    <font>
      <sz val="12"/>
      <color rgb="FFFF0000"/>
      <name val="標楷體"/>
      <family val="0"/>
      <charset val="1"/>
    </font>
    <font>
      <b val="true"/>
      <sz val="12"/>
      <color rgb="FF000000"/>
      <name val="標楷體"/>
      <family val="0"/>
      <charset val="1"/>
    </font>
    <font>
      <b val="true"/>
      <sz val="12"/>
      <color theme="1"/>
      <name val="標楷體"/>
      <family val="0"/>
      <charset val="1"/>
    </font>
    <font>
      <b val="true"/>
      <sz val="16"/>
      <color theme="1"/>
      <name val="標楷體"/>
      <family val="0"/>
      <charset val="1"/>
    </font>
    <font>
      <sz val="12"/>
      <color rgb="FF000000"/>
      <name val="標楷體"/>
      <family val="0"/>
      <charset val="1"/>
    </font>
    <font>
      <b val="true"/>
      <sz val="12"/>
      <color rgb="FFFF0000"/>
      <name val="標楷體"/>
      <family val="0"/>
      <charset val="1"/>
    </font>
    <font>
      <b val="true"/>
      <sz val="9"/>
      <color theme="1"/>
      <name val="標楷體"/>
      <family val="0"/>
      <charset val="1"/>
    </font>
    <font>
      <b val="true"/>
      <sz val="10"/>
      <color theme="1"/>
      <name val="標楷體"/>
      <family val="0"/>
      <charset val="1"/>
    </font>
    <font>
      <b val="true"/>
      <sz val="11"/>
      <color rgb="FFFF0000"/>
      <name val="標楷體"/>
      <family val="0"/>
      <charset val="1"/>
    </font>
    <font>
      <b val="true"/>
      <sz val="12"/>
      <color rgb="FFC00000"/>
      <name val="標楷體"/>
      <family val="0"/>
      <charset val="1"/>
    </font>
    <font>
      <b val="true"/>
      <sz val="10"/>
      <color rgb="FFFF0000"/>
      <name val="標楷體"/>
      <family val="0"/>
      <charset val="1"/>
    </font>
    <font>
      <b val="true"/>
      <sz val="12"/>
      <name val="標楷體"/>
      <family val="0"/>
      <charset val="1"/>
    </font>
    <font>
      <sz val="11"/>
      <color theme="1"/>
      <name val="新細明體"/>
      <family val="0"/>
      <charset val="1"/>
    </font>
    <font>
      <sz val="12"/>
      <color rgb="FFC00000"/>
      <name val="標楷體"/>
      <family val="0"/>
      <charset val="1"/>
    </font>
    <font>
      <b val="true"/>
      <sz val="12"/>
      <name val="新細明體"/>
      <family val="0"/>
      <charset val="1"/>
    </font>
    <font>
      <sz val="11"/>
      <color theme="1"/>
      <name val="標楷體"/>
      <family val="0"/>
      <charset val="1"/>
    </font>
    <font>
      <sz val="11"/>
      <color rgb="FFFF0000"/>
      <name val="標楷體"/>
      <family val="0"/>
      <charset val="1"/>
    </font>
    <font>
      <b val="true"/>
      <sz val="12"/>
      <color theme="0"/>
      <name val="標楷體"/>
      <family val="0"/>
      <charset val="1"/>
    </font>
    <font>
      <b val="true"/>
      <sz val="11"/>
      <name val="標楷體"/>
      <family val="0"/>
      <charset val="1"/>
    </font>
    <font>
      <sz val="12"/>
      <color theme="1"/>
      <name val="新細明體"/>
      <family val="0"/>
      <charset val="1"/>
    </font>
    <font>
      <b val="true"/>
      <sz val="10"/>
      <name val="標楷體"/>
      <family val="0"/>
      <charset val="1"/>
    </font>
    <font>
      <b val="true"/>
      <sz val="14"/>
      <color theme="1"/>
      <name val="標楷體"/>
      <family val="0"/>
      <charset val="1"/>
    </font>
    <font>
      <b val="true"/>
      <sz val="12"/>
      <color rgb="FF0070C0"/>
      <name val="標楷體"/>
      <family val="0"/>
      <charset val="1"/>
    </font>
    <font>
      <sz val="10"/>
      <color theme="1"/>
      <name val="新細明體"/>
      <family val="0"/>
      <charset val="1"/>
    </font>
    <font>
      <sz val="16"/>
      <color theme="1"/>
      <name val="標楷體"/>
      <family val="0"/>
      <charset val="1"/>
    </font>
    <font>
      <b val="true"/>
      <sz val="14"/>
      <color rgb="FFFF0000"/>
      <name val="標楷體"/>
      <family val="0"/>
      <charset val="1"/>
    </font>
    <font>
      <sz val="12"/>
      <color rgb="FF0070C0"/>
      <name val="標楷體"/>
      <family val="0"/>
      <charset val="1"/>
    </font>
    <font>
      <sz val="12"/>
      <color rgb="FF000000"/>
      <name val="新細明體"/>
      <family val="0"/>
      <charset val="1"/>
    </font>
    <font>
      <sz val="10"/>
      <color rgb="FF000000"/>
      <name val="新細明體"/>
      <family val="0"/>
      <charset val="1"/>
    </font>
    <font>
      <sz val="11.5"/>
      <color rgb="FF000000"/>
      <name val="標楷體"/>
      <family val="0"/>
      <charset val="1"/>
    </font>
    <font>
      <b val="true"/>
      <sz val="11.5"/>
      <color rgb="FF000000"/>
      <name val="標楷體"/>
      <family val="0"/>
      <charset val="1"/>
    </font>
    <font>
      <sz val="14"/>
      <color theme="1"/>
      <name val="標楷體"/>
      <family val="0"/>
      <charset val="1"/>
    </font>
  </fonts>
  <fills count="13">
    <fill>
      <patternFill patternType="none"/>
    </fill>
    <fill>
      <patternFill patternType="gray125"/>
    </fill>
    <fill>
      <patternFill patternType="solid">
        <fgColor rgb="FFFFFF00"/>
        <bgColor rgb="FFFFFF00"/>
      </patternFill>
    </fill>
    <fill>
      <patternFill patternType="solid">
        <fgColor rgb="FFFCDCE9"/>
        <bgColor rgb="FFFAF2D8"/>
      </patternFill>
    </fill>
    <fill>
      <patternFill patternType="solid">
        <fgColor rgb="FFCCFFFF"/>
        <bgColor rgb="FFF2F2F2"/>
      </patternFill>
    </fill>
    <fill>
      <patternFill patternType="solid">
        <fgColor rgb="FF92D050"/>
        <bgColor rgb="FFC0C0C0"/>
      </patternFill>
    </fill>
    <fill>
      <patternFill patternType="solid">
        <fgColor rgb="FFFFFFCC"/>
        <bgColor rgb="FFFAF2D8"/>
      </patternFill>
    </fill>
    <fill>
      <patternFill patternType="solid">
        <fgColor theme="0"/>
        <bgColor rgb="FFFCFBF9"/>
      </patternFill>
    </fill>
    <fill>
      <patternFill patternType="solid">
        <fgColor rgb="FFFFC000"/>
        <bgColor rgb="FFFF9900"/>
      </patternFill>
    </fill>
    <fill>
      <patternFill patternType="solid">
        <fgColor theme="8" tint="0.5999"/>
        <bgColor rgb="FF99CCFF"/>
      </patternFill>
    </fill>
    <fill>
      <patternFill patternType="solid">
        <fgColor theme="0" tint="-0.05"/>
        <bgColor rgb="FFFCFBF9"/>
      </patternFill>
    </fill>
    <fill>
      <patternFill patternType="solid">
        <fgColor theme="2" tint="0.7999"/>
        <bgColor rgb="FFFFFFFF"/>
      </patternFill>
    </fill>
    <fill>
      <patternFill patternType="solid">
        <fgColor rgb="FFFAF2D8"/>
        <bgColor rgb="FFF2F2F2"/>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medium"/>
      <top/>
      <bottom style="medium"/>
      <diagonal/>
    </border>
    <border diagonalUp="false" diagonalDown="false">
      <left/>
      <right style="thin"/>
      <top style="thin"/>
      <bottom style="thin"/>
      <diagonal/>
    </border>
    <border diagonalUp="false" diagonalDown="false">
      <left/>
      <right/>
      <top style="thin"/>
      <bottom/>
      <diagonal/>
    </border>
    <border diagonalUp="false" diagonalDown="false">
      <left/>
      <right/>
      <top/>
      <bottom style="thin"/>
      <diagonal/>
    </border>
    <border diagonalUp="false" diagonalDown="false">
      <left/>
      <right/>
      <top/>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general" vertical="center" textRotation="0" wrapText="false" indent="0" shrinkToFit="false"/>
      <protection locked="true" hidden="false"/>
    </xf>
    <xf numFmtId="165" fontId="9" fillId="2"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general" vertical="center" textRotation="0" wrapText="false" indent="0" shrinkToFit="false"/>
      <protection locked="true" hidden="false"/>
    </xf>
    <xf numFmtId="164" fontId="8" fillId="2"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general" vertical="center" textRotation="0" wrapText="false" indent="0" shrinkToFit="false"/>
      <protection locked="true" hidden="false"/>
    </xf>
    <xf numFmtId="165" fontId="7" fillId="2" borderId="0"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general" vertical="center" textRotation="0" wrapText="false" indent="0" shrinkToFit="false"/>
      <protection locked="true" hidden="false"/>
    </xf>
    <xf numFmtId="164" fontId="5" fillId="4" borderId="0" xfId="0" applyFont="true" applyBorder="true" applyAlignment="true" applyProtection="false">
      <alignment horizontal="general" vertical="center" textRotation="0" wrapText="false" indent="0" shrinkToFit="false"/>
      <protection locked="true" hidden="false"/>
    </xf>
    <xf numFmtId="166" fontId="9" fillId="2" borderId="0" xfId="0" applyFont="true" applyBorder="true" applyAlignment="true" applyProtection="false">
      <alignment horizontal="left" vertical="center" textRotation="0" wrapText="false" indent="0" shrinkToFit="false"/>
      <protection locked="true" hidden="false"/>
    </xf>
    <xf numFmtId="164" fontId="5" fillId="4"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top" textRotation="0" wrapText="false" indent="0" shrinkToFit="false"/>
      <protection locked="true" hidden="false"/>
    </xf>
    <xf numFmtId="164" fontId="7" fillId="3" borderId="0" xfId="0" applyFont="true" applyBorder="true" applyAlignment="true" applyProtection="false">
      <alignment horizontal="general" vertical="center" textRotation="0" wrapText="false" indent="0" shrinkToFit="false"/>
      <protection locked="true" hidden="false"/>
    </xf>
    <xf numFmtId="165" fontId="8" fillId="2" borderId="1"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righ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7" fontId="8" fillId="2" borderId="0" xfId="0" applyFont="true" applyBorder="true" applyAlignment="true" applyProtection="false">
      <alignment horizontal="right" vertical="center" textRotation="0" wrapText="false" indent="0" shrinkToFit="false"/>
      <protection locked="true" hidden="false"/>
    </xf>
    <xf numFmtId="167" fontId="5" fillId="5" borderId="0"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12" fillId="4" borderId="2"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general" vertical="center"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7" fillId="6" borderId="0" xfId="0" applyFont="true" applyBorder="true" applyAlignment="true" applyProtection="false">
      <alignment horizontal="left" vertical="center" textRotation="0" wrapText="false" indent="0" shrinkToFit="false"/>
      <protection locked="true" hidden="false"/>
    </xf>
    <xf numFmtId="169" fontId="8" fillId="6" borderId="0" xfId="0" applyFont="true" applyBorder="true" applyAlignment="true" applyProtection="false">
      <alignment horizontal="right" vertical="center" textRotation="0" wrapText="false" indent="0" shrinkToFit="false"/>
      <protection locked="true" hidden="false"/>
    </xf>
    <xf numFmtId="167" fontId="8" fillId="2" borderId="0" xfId="0" applyFont="true" applyBorder="true" applyAlignment="true" applyProtection="false">
      <alignment horizontal="left" vertical="center" textRotation="0" wrapText="false" indent="0" shrinkToFit="false"/>
      <protection locked="true" hidden="false"/>
    </xf>
    <xf numFmtId="164" fontId="14" fillId="6" borderId="0" xfId="0" applyFont="true" applyBorder="true" applyAlignment="true" applyProtection="false">
      <alignment horizontal="left" vertical="center" textRotation="0" wrapText="false" indent="0" shrinkToFit="false"/>
      <protection locked="true" hidden="false"/>
    </xf>
    <xf numFmtId="164" fontId="8" fillId="6" borderId="0" xfId="0" applyFont="true" applyBorder="true" applyAlignment="true" applyProtection="false">
      <alignment horizontal="general"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5" fillId="4" borderId="0" xfId="0" applyFont="true" applyBorder="true" applyAlignment="true" applyProtection="false">
      <alignment horizontal="right" vertical="center" textRotation="0" wrapText="false" indent="0" shrinkToFit="false"/>
      <protection locked="true" hidden="false"/>
    </xf>
    <xf numFmtId="167" fontId="8" fillId="2"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15" fillId="7"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false" indent="0" shrinkToFit="false"/>
      <protection locked="true" hidden="false"/>
    </xf>
    <xf numFmtId="164" fontId="16" fillId="2" borderId="0"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5" fillId="6" borderId="3" xfId="0" applyFont="true" applyBorder="true" applyAlignment="true" applyProtection="false">
      <alignment horizontal="center" vertical="center" textRotation="0" wrapText="false" indent="0" shrinkToFit="false"/>
      <protection locked="true" hidden="false"/>
    </xf>
    <xf numFmtId="164" fontId="17" fillId="8" borderId="0" xfId="0" applyFont="true" applyBorder="true" applyAlignment="true" applyProtection="false">
      <alignment horizontal="general" vertical="center" textRotation="0" wrapText="false" indent="0" shrinkToFit="false"/>
      <protection locked="true" hidden="false"/>
    </xf>
    <xf numFmtId="164" fontId="18" fillId="2" borderId="0" xfId="0" applyFont="true" applyBorder="true" applyAlignment="true" applyProtection="false">
      <alignment horizontal="general" vertical="bottom" textRotation="0" wrapText="false" indent="0" shrinkToFit="false"/>
      <protection locked="true" hidden="false"/>
    </xf>
    <xf numFmtId="164" fontId="5" fillId="8" borderId="0" xfId="0" applyFont="true" applyBorder="true" applyAlignment="true" applyProtection="false">
      <alignment horizontal="general"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9" fontId="8" fillId="2" borderId="1" xfId="0" applyFont="true" applyBorder="true" applyAlignment="true" applyProtection="false">
      <alignment horizontal="right" vertical="center" textRotation="0" wrapText="false" indent="0" shrinkToFit="false"/>
      <protection locked="true" hidden="false"/>
    </xf>
    <xf numFmtId="168" fontId="8" fillId="2" borderId="1" xfId="0" applyFont="true" applyBorder="true" applyAlignment="true" applyProtection="false">
      <alignment horizontal="right" vertical="center" textRotation="0" wrapText="false" indent="0" shrinkToFit="false"/>
      <protection locked="true" hidden="false"/>
    </xf>
    <xf numFmtId="164" fontId="19" fillId="8" borderId="0" xfId="0" applyFont="true" applyBorder="true" applyAlignment="true" applyProtection="false">
      <alignment horizontal="left" vertical="center" textRotation="0" wrapText="false" indent="0" shrinkToFit="false"/>
      <protection locked="true" hidden="false"/>
    </xf>
    <xf numFmtId="169" fontId="17" fillId="2" borderId="4" xfId="0" applyFont="true" applyBorder="true" applyAlignment="true" applyProtection="false">
      <alignment horizontal="left" vertical="center" textRotation="0" wrapText="false" indent="0" shrinkToFit="false"/>
      <protection locked="true" hidden="false"/>
    </xf>
    <xf numFmtId="164" fontId="19" fillId="8" borderId="0" xfId="0" applyFont="true" applyBorder="true" applyAlignment="true" applyProtection="false">
      <alignment horizontal="general" vertical="center" textRotation="0" wrapText="false" indent="0" shrinkToFit="false"/>
      <protection locked="true" hidden="false"/>
    </xf>
    <xf numFmtId="164" fontId="19" fillId="6" borderId="0" xfId="0" applyFont="true" applyBorder="true" applyAlignment="true" applyProtection="false">
      <alignment horizontal="left" vertical="center" textRotation="0" wrapText="false" indent="0" shrinkToFit="false"/>
      <protection locked="true" hidden="false"/>
    </xf>
    <xf numFmtId="164" fontId="19" fillId="6" borderId="0" xfId="0" applyFont="true" applyBorder="true" applyAlignment="true" applyProtection="false">
      <alignment horizontal="general" vertical="center" textRotation="0" wrapText="false" indent="0" shrinkToFit="false"/>
      <protection locked="true" hidden="false"/>
    </xf>
    <xf numFmtId="164" fontId="19" fillId="2" borderId="0" xfId="0" applyFont="true" applyBorder="true" applyAlignment="true" applyProtection="false">
      <alignment horizontal="left" vertical="center" textRotation="0" wrapText="fals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9" fontId="17" fillId="2" borderId="1" xfId="0" applyFont="true" applyBorder="true" applyAlignment="true" applyProtection="false">
      <alignment horizontal="right" vertical="center" textRotation="0" wrapText="false" indent="0" shrinkToFit="false"/>
      <protection locked="true" hidden="false"/>
    </xf>
    <xf numFmtId="164" fontId="21" fillId="6" borderId="0" xfId="0" applyFont="true" applyBorder="true" applyAlignment="true" applyProtection="false">
      <alignment horizontal="general"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false" indent="0" shrinkToFit="false"/>
      <protection locked="true" hidden="false"/>
    </xf>
    <xf numFmtId="169" fontId="17" fillId="2" borderId="1" xfId="0" applyFont="true" applyBorder="true" applyAlignment="true" applyProtection="false">
      <alignment horizontal="center" vertical="center" textRotation="0" wrapText="false" indent="0" shrinkToFit="false"/>
      <protection locked="true" hidden="false"/>
    </xf>
    <xf numFmtId="165" fontId="22" fillId="9" borderId="1" xfId="0" applyFont="true" applyBorder="true" applyAlignment="true" applyProtection="false">
      <alignment horizontal="left" vertical="top" textRotation="0" wrapText="true" indent="0" shrinkToFit="false"/>
      <protection locked="true" hidden="false"/>
    </xf>
    <xf numFmtId="164" fontId="21" fillId="6" borderId="2" xfId="0" applyFont="true" applyBorder="true" applyAlignment="true" applyProtection="false">
      <alignment horizontal="left" vertical="center" textRotation="0" wrapText="true" indent="0" shrinkToFit="false"/>
      <protection locked="true" hidden="false"/>
    </xf>
    <xf numFmtId="164" fontId="23" fillId="7" borderId="1" xfId="0" applyFont="true" applyBorder="true" applyAlignment="true" applyProtection="false">
      <alignment horizontal="center" vertical="center" textRotation="0" wrapText="false" indent="0" shrinkToFit="false"/>
      <protection locked="true" hidden="false"/>
    </xf>
    <xf numFmtId="164" fontId="15" fillId="7" borderId="5" xfId="0" applyFont="true" applyBorder="true" applyAlignment="true" applyProtection="false">
      <alignment horizontal="left" vertical="top" textRotation="0" wrapText="true" indent="0" shrinkToFit="false"/>
      <protection locked="true" hidden="false"/>
    </xf>
    <xf numFmtId="164" fontId="8" fillId="4" borderId="2" xfId="0" applyFont="true" applyBorder="true" applyAlignment="true" applyProtection="false">
      <alignment horizontal="general" vertical="center" textRotation="0" wrapText="false" indent="0" shrinkToFit="false"/>
      <protection locked="true" hidden="false"/>
    </xf>
    <xf numFmtId="170" fontId="8" fillId="2" borderId="1" xfId="0" applyFont="true" applyBorder="true" applyAlignment="true" applyProtection="false">
      <alignment horizontal="right" vertical="center" textRotation="0" wrapText="false" indent="0" shrinkToFit="false"/>
      <protection locked="true" hidden="false"/>
    </xf>
    <xf numFmtId="164" fontId="11" fillId="2" borderId="2"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true" applyAlignment="true" applyProtection="false">
      <alignment horizontal="left" vertical="center" textRotation="0" wrapText="false" indent="0" shrinkToFit="false"/>
      <protection locked="true" hidden="false"/>
    </xf>
    <xf numFmtId="164" fontId="15" fillId="3" borderId="0" xfId="0" applyFont="true" applyBorder="true" applyAlignment="true" applyProtection="false">
      <alignment horizontal="center" vertical="center" textRotation="0" wrapText="false" indent="0" shrinkToFit="false"/>
      <protection locked="true" hidden="false"/>
    </xf>
    <xf numFmtId="169" fontId="24" fillId="2" borderId="0" xfId="0" applyFont="true" applyBorder="true" applyAlignment="true" applyProtection="false">
      <alignment horizontal="left" vertical="center" textRotation="0" wrapText="false" indent="0" shrinkToFit="false"/>
      <protection locked="true" hidden="false"/>
    </xf>
    <xf numFmtId="169" fontId="17" fillId="2" borderId="0" xfId="0" applyFont="true" applyBorder="true" applyAlignment="true" applyProtection="false">
      <alignment horizontal="left" vertical="center" textRotation="0" wrapText="false" indent="0" shrinkToFit="false"/>
      <protection locked="true" hidden="false"/>
    </xf>
    <xf numFmtId="164" fontId="25" fillId="2" borderId="0" xfId="0" applyFont="true" applyBorder="true" applyAlignment="true" applyProtection="false">
      <alignment horizontal="general" vertical="center" textRotation="0" wrapText="false" indent="0" shrinkToFit="false"/>
      <protection locked="true" hidden="false"/>
    </xf>
    <xf numFmtId="169" fontId="26" fillId="2" borderId="0"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true" applyAlignment="true" applyProtection="false">
      <alignment horizontal="general" vertical="center" textRotation="0" wrapText="false" indent="0" shrinkToFit="false"/>
      <protection locked="true" hidden="false"/>
    </xf>
    <xf numFmtId="164" fontId="27" fillId="2"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7" fillId="10" borderId="0" xfId="0" applyFont="true" applyBorder="true" applyAlignment="true" applyProtection="false">
      <alignment horizontal="left" vertical="center" textRotation="0" wrapText="false" indent="0" shrinkToFit="false"/>
      <protection locked="true" hidden="false"/>
    </xf>
    <xf numFmtId="164" fontId="5" fillId="10" borderId="0"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8" fillId="0" borderId="6"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center" vertical="center" textRotation="0" wrapText="true" indent="0" shrinkToFit="false"/>
      <protection locked="true" hidden="false"/>
    </xf>
    <xf numFmtId="171" fontId="29"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left" vertical="center" textRotation="0" wrapText="true" indent="0" shrinkToFit="false"/>
      <protection locked="true" hidden="false"/>
    </xf>
    <xf numFmtId="171" fontId="29" fillId="0" borderId="6" xfId="0" applyFont="true" applyBorder="true" applyAlignment="true" applyProtection="false">
      <alignment horizontal="center" vertical="center" textRotation="0" wrapText="false" indent="0" shrinkToFit="false"/>
      <protection locked="true" hidden="false"/>
    </xf>
    <xf numFmtId="164" fontId="5" fillId="0" borderId="6" xfId="0" applyFont="true" applyBorder="true" applyAlignment="true" applyProtection="false">
      <alignment horizontal="general" vertical="center" textRotation="0" wrapText="true" indent="0" shrinkToFit="false"/>
      <protection locked="true" hidden="false"/>
    </xf>
    <xf numFmtId="164" fontId="5" fillId="0" borderId="6" xfId="0" applyFont="true" applyBorder="true" applyAlignment="true" applyProtection="false">
      <alignment horizontal="left" vertical="center" textRotation="0" wrapText="tru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7" fillId="10" borderId="0" xfId="0" applyFont="true" applyBorder="true" applyAlignment="true" applyProtection="false">
      <alignment horizontal="general" vertical="center" textRotation="0" wrapText="false" indent="0" shrinkToFit="false"/>
      <protection locked="true" hidden="false"/>
    </xf>
    <xf numFmtId="164" fontId="25" fillId="0" borderId="0" xfId="0" applyFont="true" applyBorder="true" applyAlignment="true" applyProtection="false">
      <alignment horizontal="general" vertical="center" textRotation="0" wrapText="false" indent="0" shrinkToFit="false"/>
      <protection locked="true" hidden="false"/>
    </xf>
    <xf numFmtId="164" fontId="10" fillId="10" borderId="0" xfId="0" applyFont="true" applyBorder="true" applyAlignment="true" applyProtection="false">
      <alignment horizontal="general"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7" fillId="12" borderId="1" xfId="0" applyFont="true" applyBorder="true" applyAlignment="true" applyProtection="false">
      <alignment horizontal="general" vertical="center" textRotation="0" wrapText="true" indent="0" shrinkToFit="false"/>
      <protection locked="true" hidden="false"/>
    </xf>
    <xf numFmtId="164" fontId="7" fillId="12"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5" fillId="0" borderId="0"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7"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7" fillId="11" borderId="0" xfId="0" applyFont="true" applyBorder="true" applyAlignment="true" applyProtection="false">
      <alignment horizontal="general" vertical="center" textRotation="0" wrapText="false" indent="0" shrinkToFit="false"/>
      <protection locked="true" hidden="false"/>
    </xf>
    <xf numFmtId="164" fontId="5" fillId="11" borderId="0" xfId="0" applyFont="true" applyBorder="true" applyAlignment="true" applyProtection="false">
      <alignment horizontal="general" vertical="center" textRotation="0" wrapText="false" indent="0" shrinkToFit="false"/>
      <protection locked="true" hidden="false"/>
    </xf>
    <xf numFmtId="164" fontId="10" fillId="11" borderId="0" xfId="0" applyFont="true" applyBorder="true" applyAlignment="true" applyProtection="false">
      <alignment horizontal="left" vertical="center" textRotation="0" wrapText="true" indent="0" shrinkToFit="false"/>
      <protection locked="true" hidden="false"/>
    </xf>
    <xf numFmtId="164" fontId="10" fillId="11" borderId="0" xfId="0" applyFont="true" applyBorder="true" applyAlignment="true" applyProtection="false">
      <alignment horizontal="left" vertical="center" textRotation="0" wrapText="false" indent="0" shrinkToFit="false"/>
      <protection locked="true" hidden="false"/>
    </xf>
    <xf numFmtId="164" fontId="10" fillId="11" borderId="0" xfId="0" applyFont="true" applyBorder="true" applyAlignment="true" applyProtection="false">
      <alignment horizontal="general" vertical="center" textRotation="0" wrapText="false" indent="0" shrinkToFit="false"/>
      <protection locked="true" hidden="false"/>
    </xf>
    <xf numFmtId="164" fontId="8" fillId="11"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8" fillId="2" borderId="8" xfId="0" applyFont="true" applyBorder="true" applyAlignment="true" applyProtection="false">
      <alignment horizontal="general" vertical="center" textRotation="0" wrapText="false" indent="0" shrinkToFit="false"/>
      <protection locked="true" hidden="false"/>
    </xf>
    <xf numFmtId="164" fontId="5" fillId="11" borderId="8" xfId="0" applyFont="true" applyBorder="true" applyAlignment="true" applyProtection="false">
      <alignment horizontal="general" vertical="center" textRotation="0" wrapText="false" indent="0" shrinkToFit="false"/>
      <protection locked="true" hidden="false"/>
    </xf>
    <xf numFmtId="165" fontId="37" fillId="11" borderId="0" xfId="0" applyFont="true" applyBorder="true" applyAlignment="true" applyProtection="false">
      <alignment horizontal="left" vertical="center" textRotation="0" wrapText="false" indent="0" shrinkToFit="false"/>
      <protection locked="true" hidden="false"/>
    </xf>
    <xf numFmtId="172" fontId="5" fillId="11"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73" fontId="8" fillId="2" borderId="0" xfId="0" applyFont="true" applyBorder="true" applyAlignment="true" applyProtection="false">
      <alignment horizontal="left" vertical="distributed"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70C0"/>
      <rgbColor rgb="FFB7DEE8"/>
      <rgbColor rgb="FF000080"/>
      <rgbColor rgb="FFFF00FF"/>
      <rgbColor rgb="FFFFFF00"/>
      <rgbColor rgb="FF00FFFF"/>
      <rgbColor rgb="FF800080"/>
      <rgbColor rgb="FF800000"/>
      <rgbColor rgb="FF008080"/>
      <rgbColor rgb="FF0000FF"/>
      <rgbColor rgb="FF00CCFF"/>
      <rgbColor rgb="FFF2F2F2"/>
      <rgbColor rgb="FFFCFBF9"/>
      <rgbColor rgb="FFFAF2D8"/>
      <rgbColor rgb="FF99CCFF"/>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5"/>
  <sheetViews>
    <sheetView showFormulas="false" showGridLines="true" showRowColHeaders="true" showZeros="true" rightToLeft="false" tabSelected="true" showOutlineSymbols="true" defaultGridColor="true" view="normal" topLeftCell="B10" colorId="64" zoomScale="100" zoomScaleNormal="100" zoomScalePageLayoutView="100" workbookViewId="0">
      <selection pane="topLeft" activeCell="E33" activeCellId="0" sqref="E33"/>
    </sheetView>
  </sheetViews>
  <sheetFormatPr defaultColWidth="7.89453125" defaultRowHeight="15" customHeight="false" zeroHeight="false" outlineLevelRow="0" outlineLevelCol="0"/>
  <cols>
    <col collapsed="false" customWidth="true" hidden="false" outlineLevel="0" max="1" min="1" style="0" width="17.63"/>
    <col collapsed="false" customWidth="true" hidden="false" outlineLevel="0" max="2" min="2" style="0" width="20.58"/>
    <col collapsed="false" customWidth="true" hidden="false" outlineLevel="0" max="3" min="3" style="0" width="22.4"/>
    <col collapsed="false" customWidth="true" hidden="false" outlineLevel="0" max="4" min="4" style="0" width="23.31"/>
    <col collapsed="false" customWidth="true" hidden="false" outlineLevel="0" max="5" min="5" style="0" width="18.09"/>
    <col collapsed="false" customWidth="true" hidden="false" outlineLevel="0" max="6" min="6" style="0" width="14.9"/>
    <col collapsed="false" customWidth="true" hidden="false" outlineLevel="0" max="7" min="7" style="0" width="12.17"/>
  </cols>
  <sheetData>
    <row r="1" customFormat="false" ht="19.7" hidden="false" customHeight="false" outlineLevel="0" collapsed="false">
      <c r="A1" s="1" t="s">
        <v>0</v>
      </c>
      <c r="B1" s="2"/>
      <c r="C1" s="2"/>
      <c r="D1" s="2"/>
      <c r="E1" s="2"/>
      <c r="F1" s="3" t="s">
        <v>1</v>
      </c>
      <c r="G1" s="3"/>
    </row>
    <row r="2" customFormat="false" ht="15" hidden="false" customHeight="false" outlineLevel="0" collapsed="false">
      <c r="A2" s="4" t="s">
        <v>2</v>
      </c>
      <c r="B2" s="4"/>
      <c r="C2" s="4"/>
      <c r="D2" s="4"/>
      <c r="E2" s="4"/>
      <c r="F2" s="4"/>
      <c r="G2" s="4"/>
    </row>
    <row r="3" customFormat="false" ht="15" hidden="false" customHeight="true" outlineLevel="0" collapsed="false">
      <c r="A3" s="5" t="s">
        <v>3</v>
      </c>
      <c r="B3" s="6" t="s">
        <v>4</v>
      </c>
      <c r="C3" s="6"/>
      <c r="D3" s="6"/>
      <c r="E3" s="6"/>
      <c r="F3" s="6"/>
      <c r="G3" s="6"/>
    </row>
    <row r="4" customFormat="false" ht="15" hidden="false" customHeight="true" outlineLevel="0" collapsed="false">
      <c r="A4" s="5" t="s">
        <v>5</v>
      </c>
      <c r="B4" s="6" t="s">
        <v>6</v>
      </c>
      <c r="C4" s="6"/>
      <c r="D4" s="6"/>
      <c r="E4" s="6"/>
      <c r="F4" s="6"/>
      <c r="G4" s="6"/>
    </row>
    <row r="5" customFormat="false" ht="15" hidden="false" customHeight="false" outlineLevel="0" collapsed="false">
      <c r="A5" s="7" t="s">
        <v>7</v>
      </c>
      <c r="B5" s="7"/>
      <c r="C5" s="4"/>
      <c r="D5" s="4"/>
      <c r="E5" s="4"/>
      <c r="F5" s="4"/>
      <c r="G5" s="4"/>
    </row>
    <row r="6" customFormat="false" ht="15" hidden="false" customHeight="false" outlineLevel="0" collapsed="false">
      <c r="A6" s="8" t="s">
        <v>8</v>
      </c>
      <c r="B6" s="2"/>
      <c r="C6" s="2"/>
      <c r="D6" s="2"/>
      <c r="E6" s="2"/>
      <c r="F6" s="2"/>
      <c r="G6" s="2"/>
    </row>
    <row r="7" customFormat="false" ht="19.7" hidden="false" customHeight="false" outlineLevel="0" collapsed="false">
      <c r="A7" s="7" t="s">
        <v>9</v>
      </c>
      <c r="B7" s="9" t="s">
        <v>10</v>
      </c>
      <c r="C7" s="8" t="s">
        <v>11</v>
      </c>
      <c r="D7" s="8"/>
      <c r="E7" s="8"/>
      <c r="F7" s="8"/>
      <c r="G7" s="8"/>
    </row>
    <row r="8" customFormat="false" ht="19.7" hidden="false" customHeight="false" outlineLevel="0" collapsed="false">
      <c r="A8" s="10" t="s">
        <v>12</v>
      </c>
      <c r="B8" s="11" t="s">
        <v>13</v>
      </c>
      <c r="C8" s="12"/>
      <c r="D8" s="12"/>
      <c r="E8" s="12"/>
      <c r="F8" s="8" t="s">
        <v>14</v>
      </c>
      <c r="G8" s="8"/>
    </row>
    <row r="9" customFormat="false" ht="15" hidden="false" customHeight="false" outlineLevel="0" collapsed="false">
      <c r="A9" s="13" t="s">
        <v>15</v>
      </c>
      <c r="B9" s="2" t="s">
        <v>16</v>
      </c>
      <c r="C9" s="2"/>
      <c r="D9" s="2"/>
      <c r="E9" s="2"/>
      <c r="F9" s="2"/>
      <c r="G9" s="2"/>
    </row>
    <row r="10" customFormat="false" ht="17.15" hidden="false" customHeight="false" outlineLevel="0" collapsed="false">
      <c r="A10" s="14" t="s">
        <v>17</v>
      </c>
      <c r="B10" s="15"/>
      <c r="C10" s="16" t="s">
        <v>18</v>
      </c>
      <c r="D10" s="16"/>
      <c r="E10" s="17" t="s">
        <v>19</v>
      </c>
      <c r="F10" s="15"/>
      <c r="G10" s="2"/>
    </row>
    <row r="11" customFormat="false" ht="15" hidden="false" customHeight="false" outlineLevel="0" collapsed="false">
      <c r="A11" s="18" t="s">
        <v>20</v>
      </c>
      <c r="B11" s="2"/>
      <c r="C11" s="19"/>
      <c r="D11" s="20"/>
      <c r="E11" s="20"/>
      <c r="F11" s="2"/>
      <c r="G11" s="2"/>
    </row>
    <row r="12" customFormat="false" ht="15" hidden="false" customHeight="false" outlineLevel="0" collapsed="false">
      <c r="A12" s="18" t="s">
        <v>21</v>
      </c>
      <c r="B12" s="2"/>
      <c r="C12" s="19"/>
      <c r="D12" s="20"/>
      <c r="E12" s="20"/>
      <c r="F12" s="2"/>
      <c r="G12" s="2"/>
    </row>
    <row r="13" customFormat="false" ht="15" hidden="false" customHeight="false" outlineLevel="0" collapsed="false">
      <c r="A13" s="18" t="s">
        <v>22</v>
      </c>
      <c r="B13" s="2"/>
      <c r="C13" s="2"/>
      <c r="D13" s="2"/>
      <c r="E13" s="2"/>
      <c r="F13" s="2"/>
      <c r="G13" s="2"/>
    </row>
    <row r="14" customFormat="false" ht="15" hidden="false" customHeight="false" outlineLevel="0" collapsed="false">
      <c r="A14" s="18" t="s">
        <v>23</v>
      </c>
      <c r="B14" s="2"/>
      <c r="C14" s="2"/>
      <c r="D14" s="2"/>
      <c r="E14" s="2"/>
      <c r="F14" s="2"/>
      <c r="G14" s="2"/>
    </row>
    <row r="15" customFormat="false" ht="15" hidden="false" customHeight="false" outlineLevel="0" collapsed="false">
      <c r="A15" s="18" t="s">
        <v>24</v>
      </c>
      <c r="B15" s="2"/>
      <c r="C15" s="2"/>
      <c r="D15" s="2"/>
      <c r="E15" s="2"/>
      <c r="F15" s="2"/>
      <c r="G15" s="2"/>
    </row>
    <row r="16" customFormat="false" ht="15" hidden="false" customHeight="false" outlineLevel="0" collapsed="false">
      <c r="A16" s="18" t="s">
        <v>25</v>
      </c>
      <c r="B16" s="2"/>
      <c r="C16" s="2"/>
      <c r="D16" s="2"/>
      <c r="E16" s="2"/>
      <c r="F16" s="2"/>
      <c r="G16" s="2"/>
    </row>
    <row r="17" customFormat="false" ht="15" hidden="false" customHeight="false" outlineLevel="0" collapsed="false">
      <c r="A17" s="18" t="s">
        <v>26</v>
      </c>
      <c r="B17" s="2"/>
      <c r="C17" s="2"/>
      <c r="D17" s="2"/>
      <c r="E17" s="2"/>
      <c r="F17" s="2"/>
      <c r="G17" s="2"/>
    </row>
    <row r="18" customFormat="false" ht="15" hidden="false" customHeight="false" outlineLevel="0" collapsed="false">
      <c r="A18" s="18" t="s">
        <v>27</v>
      </c>
      <c r="B18" s="2"/>
      <c r="C18" s="2"/>
      <c r="D18" s="2"/>
      <c r="E18" s="2"/>
      <c r="F18" s="2"/>
      <c r="G18" s="2"/>
    </row>
    <row r="19" customFormat="false" ht="15" hidden="false" customHeight="false" outlineLevel="0" collapsed="false">
      <c r="A19" s="18" t="s">
        <v>28</v>
      </c>
      <c r="B19" s="2"/>
      <c r="C19" s="2"/>
      <c r="D19" s="2"/>
      <c r="E19" s="2"/>
      <c r="F19" s="2"/>
      <c r="G19" s="2"/>
    </row>
    <row r="20" customFormat="false" ht="15" hidden="false" customHeight="false" outlineLevel="0" collapsed="false">
      <c r="A20" s="18" t="s">
        <v>29</v>
      </c>
      <c r="B20" s="2"/>
      <c r="C20" s="2"/>
      <c r="D20" s="2"/>
      <c r="E20" s="2"/>
      <c r="F20" s="2"/>
      <c r="G20" s="2"/>
    </row>
    <row r="21" customFormat="false" ht="15" hidden="false" customHeight="false" outlineLevel="0" collapsed="false">
      <c r="A21" s="18" t="s">
        <v>30</v>
      </c>
      <c r="B21" s="2"/>
      <c r="C21" s="2"/>
      <c r="D21" s="2"/>
      <c r="E21" s="2"/>
      <c r="F21" s="2"/>
      <c r="G21" s="2"/>
    </row>
    <row r="22" customFormat="false" ht="15" hidden="false" customHeight="false" outlineLevel="0" collapsed="false">
      <c r="A22" s="18" t="s">
        <v>31</v>
      </c>
      <c r="B22" s="2"/>
      <c r="C22" s="2"/>
      <c r="D22" s="2"/>
      <c r="E22" s="2"/>
      <c r="F22" s="2"/>
      <c r="G22" s="2"/>
    </row>
    <row r="23" customFormat="false" ht="15" hidden="false" customHeight="false" outlineLevel="0" collapsed="false">
      <c r="A23" s="18" t="s">
        <v>32</v>
      </c>
      <c r="B23" s="2"/>
      <c r="C23" s="2"/>
      <c r="D23" s="2"/>
      <c r="E23" s="2"/>
      <c r="F23" s="2"/>
      <c r="G23" s="2"/>
    </row>
    <row r="24" customFormat="false" ht="15" hidden="false" customHeight="false" outlineLevel="0" collapsed="false">
      <c r="A24" s="21" t="s">
        <v>33</v>
      </c>
      <c r="B24" s="22" t="s">
        <v>34</v>
      </c>
      <c r="C24" s="23" t="s">
        <v>35</v>
      </c>
      <c r="D24" s="22" t="s">
        <v>36</v>
      </c>
      <c r="E24" s="24" t="s">
        <v>37</v>
      </c>
      <c r="F24" s="25" t="s">
        <v>38</v>
      </c>
      <c r="G24" s="2"/>
    </row>
    <row r="25" customFormat="false" ht="15" hidden="false" customHeight="false" outlineLevel="0" collapsed="false">
      <c r="A25" s="10" t="s">
        <v>39</v>
      </c>
      <c r="B25" s="26" t="s">
        <v>40</v>
      </c>
      <c r="C25" s="2" t="s">
        <v>41</v>
      </c>
      <c r="D25" s="2" t="s">
        <v>42</v>
      </c>
      <c r="E25" s="27" t="s">
        <v>43</v>
      </c>
      <c r="F25" s="28" t="s">
        <v>44</v>
      </c>
      <c r="G25" s="2"/>
    </row>
    <row r="26" customFormat="false" ht="25.35" hidden="false" customHeight="true" outlineLevel="0" collapsed="false">
      <c r="A26" s="29" t="s">
        <v>45</v>
      </c>
      <c r="B26" s="29"/>
      <c r="C26" s="29"/>
      <c r="D26" s="29"/>
      <c r="E26" s="29"/>
      <c r="F26" s="29"/>
      <c r="G26" s="2"/>
    </row>
    <row r="27" customFormat="false" ht="15" hidden="false" customHeight="true" outlineLevel="0" collapsed="false">
      <c r="A27" s="30" t="s">
        <v>46</v>
      </c>
      <c r="B27" s="30" t="s">
        <v>47</v>
      </c>
      <c r="C27" s="30" t="s">
        <v>48</v>
      </c>
      <c r="D27" s="31" t="s">
        <v>49</v>
      </c>
      <c r="E27" s="31"/>
      <c r="F27" s="31"/>
      <c r="G27" s="31"/>
    </row>
    <row r="28" customFormat="false" ht="15" hidden="false" customHeight="false" outlineLevel="0" collapsed="false">
      <c r="A28" s="30" t="s">
        <v>50</v>
      </c>
      <c r="B28" s="32" t="s">
        <v>51</v>
      </c>
      <c r="C28" s="33" t="s">
        <v>52</v>
      </c>
      <c r="D28" s="34" t="s">
        <v>53</v>
      </c>
      <c r="E28" s="35" t="s">
        <v>54</v>
      </c>
      <c r="F28" s="35"/>
      <c r="G28" s="35"/>
    </row>
    <row r="29" customFormat="false" ht="15" hidden="false" customHeight="false" outlineLevel="0" collapsed="false">
      <c r="A29" s="36" t="s">
        <v>55</v>
      </c>
      <c r="B29" s="37"/>
      <c r="C29" s="36" t="s">
        <v>56</v>
      </c>
      <c r="D29" s="38" t="s">
        <v>57</v>
      </c>
      <c r="E29" s="39"/>
      <c r="F29" s="40"/>
      <c r="G29" s="40"/>
    </row>
    <row r="30" customFormat="false" ht="15" hidden="false" customHeight="false" outlineLevel="0" collapsed="false">
      <c r="A30" s="15" t="s">
        <v>58</v>
      </c>
      <c r="B30" s="41" t="str">
        <f aca="false">F24</f>
        <v>希望服務天數(市府表單)</v>
      </c>
      <c r="C30" s="15" t="s">
        <v>59</v>
      </c>
      <c r="D30" s="11" t="str">
        <f aca="false">F25</f>
        <v>時數(市府表單)</v>
      </c>
      <c r="E30" s="42" t="s">
        <v>60</v>
      </c>
      <c r="F30" s="43" t="str">
        <f aca="false">B38</f>
        <v>雇主自費合計金額(訂單系統)</v>
      </c>
      <c r="G30" s="15" t="s">
        <v>61</v>
      </c>
    </row>
    <row r="31" customFormat="false" ht="15" hidden="false" customHeight="true" outlineLevel="0" collapsed="false">
      <c r="A31" s="44" t="s">
        <v>62</v>
      </c>
      <c r="B31" s="45"/>
      <c r="C31" s="45"/>
      <c r="D31" s="46"/>
      <c r="E31" s="47" t="s">
        <v>63</v>
      </c>
      <c r="F31" s="48" t="s">
        <v>64</v>
      </c>
      <c r="G31" s="48"/>
    </row>
    <row r="32" customFormat="false" ht="15" hidden="false" customHeight="true" outlineLevel="0" collapsed="false">
      <c r="A32" s="29" t="s">
        <v>65</v>
      </c>
      <c r="B32" s="29"/>
      <c r="C32" s="29"/>
      <c r="D32" s="29"/>
      <c r="E32" s="29"/>
      <c r="F32" s="29"/>
      <c r="G32" s="29"/>
    </row>
    <row r="33" customFormat="false" ht="15" hidden="false" customHeight="false" outlineLevel="0" collapsed="false">
      <c r="A33" s="49" t="s">
        <v>46</v>
      </c>
      <c r="B33" s="49" t="s">
        <v>66</v>
      </c>
      <c r="C33" s="50" t="s">
        <v>48</v>
      </c>
      <c r="D33" s="51" t="s">
        <v>67</v>
      </c>
      <c r="E33" s="52" t="s">
        <v>68</v>
      </c>
      <c r="F33" s="53"/>
      <c r="G33" s="53"/>
    </row>
    <row r="34" customFormat="false" ht="15" hidden="false" customHeight="false" outlineLevel="0" collapsed="false">
      <c r="A34" s="54" t="s">
        <v>69</v>
      </c>
      <c r="B34" s="55" t="s">
        <v>70</v>
      </c>
      <c r="C34" s="56" t="s">
        <v>71</v>
      </c>
      <c r="D34" s="57" t="s">
        <v>72</v>
      </c>
      <c r="E34" s="58" t="s">
        <v>73</v>
      </c>
      <c r="F34" s="59"/>
      <c r="G34" s="59"/>
    </row>
    <row r="35" customFormat="false" ht="15" hidden="false" customHeight="false" outlineLevel="0" collapsed="false">
      <c r="A35" s="54" t="s">
        <v>74</v>
      </c>
      <c r="B35" s="55" t="s">
        <v>75</v>
      </c>
      <c r="C35" s="56" t="s">
        <v>76</v>
      </c>
      <c r="D35" s="60" t="s">
        <v>77</v>
      </c>
      <c r="E35" s="60"/>
      <c r="F35" s="61"/>
      <c r="G35" s="61"/>
    </row>
    <row r="36" customFormat="false" ht="15" hidden="false" customHeight="false" outlineLevel="0" collapsed="false">
      <c r="A36" s="54" t="s">
        <v>78</v>
      </c>
      <c r="B36" s="55" t="s">
        <v>79</v>
      </c>
      <c r="C36" s="56" t="s">
        <v>80</v>
      </c>
      <c r="D36" s="62" t="s">
        <v>81</v>
      </c>
      <c r="E36" s="60"/>
      <c r="F36" s="61"/>
      <c r="G36" s="61"/>
    </row>
    <row r="37" customFormat="false" ht="15" hidden="false" customHeight="false" outlineLevel="0" collapsed="false">
      <c r="A37" s="63" t="s">
        <v>82</v>
      </c>
      <c r="B37" s="64" t="s">
        <v>83</v>
      </c>
      <c r="C37" s="56" t="s">
        <v>71</v>
      </c>
      <c r="D37" s="60" t="s">
        <v>84</v>
      </c>
      <c r="E37" s="65"/>
      <c r="F37" s="65"/>
      <c r="G37" s="65"/>
    </row>
    <row r="38" customFormat="false" ht="15" hidden="false" customHeight="true" outlineLevel="0" collapsed="false">
      <c r="A38" s="66" t="s">
        <v>85</v>
      </c>
      <c r="B38" s="67" t="s">
        <v>86</v>
      </c>
      <c r="C38" s="68" t="s">
        <v>42</v>
      </c>
      <c r="D38" s="69" t="s">
        <v>87</v>
      </c>
      <c r="E38" s="69"/>
      <c r="F38" s="69"/>
      <c r="G38" s="69"/>
    </row>
    <row r="39" customFormat="false" ht="15" hidden="false" customHeight="true" outlineLevel="0" collapsed="false">
      <c r="A39" s="70" t="s">
        <v>88</v>
      </c>
      <c r="B39" s="70" t="str">
        <f aca="false">IFERROR(VLOOKUP($F$1,'[1]2019ap訂單6-9月'!c$1:AI$1048576,10,0),"- ")</f>
        <v>- </v>
      </c>
      <c r="C39" s="71" t="s">
        <v>89</v>
      </c>
      <c r="D39" s="72" t="s">
        <v>53</v>
      </c>
      <c r="E39" s="11" t="str">
        <f aca="false">E28</f>
        <v>服務時段(市府表單)</v>
      </c>
      <c r="F39" s="11"/>
      <c r="G39" s="11"/>
    </row>
    <row r="40" customFormat="false" ht="15" hidden="false" customHeight="false" outlineLevel="0" collapsed="false">
      <c r="A40" s="30" t="s">
        <v>90</v>
      </c>
      <c r="B40" s="73" t="s">
        <v>91</v>
      </c>
      <c r="C40" s="71"/>
      <c r="D40" s="74" t="s">
        <v>92</v>
      </c>
      <c r="E40" s="75" t="s">
        <v>93</v>
      </c>
      <c r="F40" s="75"/>
      <c r="G40" s="75"/>
    </row>
    <row r="41" customFormat="false" ht="15" hidden="false" customHeight="true" outlineLevel="0" collapsed="false">
      <c r="A41" s="76" t="s">
        <v>94</v>
      </c>
      <c r="B41" s="77" t="s">
        <v>95</v>
      </c>
      <c r="C41" s="78" t="s">
        <v>96</v>
      </c>
      <c r="D41" s="79" t="s">
        <v>97</v>
      </c>
      <c r="E41" s="79" t="s">
        <v>98</v>
      </c>
      <c r="F41" s="80" t="s">
        <v>99</v>
      </c>
      <c r="G41" s="80"/>
    </row>
    <row r="42" customFormat="false" ht="17.35" hidden="false" customHeight="false" outlineLevel="0" collapsed="false">
      <c r="A42" s="10" t="s">
        <v>100</v>
      </c>
      <c r="B42" s="81"/>
      <c r="C42" s="81"/>
      <c r="D42" s="81"/>
      <c r="E42" s="2"/>
      <c r="F42" s="2"/>
      <c r="G42" s="2"/>
    </row>
    <row r="43" customFormat="false" ht="15" hidden="false" customHeight="false" outlineLevel="0" collapsed="false">
      <c r="A43" s="82" t="s">
        <v>101</v>
      </c>
      <c r="B43" s="83" t="s">
        <v>102</v>
      </c>
      <c r="C43" s="83"/>
      <c r="D43" s="83"/>
      <c r="E43" s="2"/>
      <c r="F43" s="2"/>
      <c r="G43" s="2"/>
    </row>
    <row r="44" customFormat="false" ht="15" hidden="false" customHeight="false" outlineLevel="0" collapsed="false">
      <c r="A44" s="18" t="s">
        <v>103</v>
      </c>
      <c r="B44" s="2"/>
      <c r="C44" s="2"/>
      <c r="D44" s="2"/>
      <c r="E44" s="2"/>
      <c r="F44" s="2"/>
      <c r="G44" s="2"/>
    </row>
    <row r="45" customFormat="false" ht="15" hidden="false" customHeight="false" outlineLevel="0" collapsed="false">
      <c r="A45" s="84" t="s">
        <v>104</v>
      </c>
      <c r="B45" s="2"/>
      <c r="C45" s="2"/>
      <c r="D45" s="2"/>
      <c r="E45" s="2"/>
      <c r="F45" s="2"/>
      <c r="G45" s="2"/>
    </row>
    <row r="46" customFormat="false" ht="15" hidden="false" customHeight="false" outlineLevel="0" collapsed="false">
      <c r="A46" s="18" t="s">
        <v>105</v>
      </c>
      <c r="B46" s="2"/>
      <c r="C46" s="2"/>
      <c r="D46" s="2"/>
      <c r="E46" s="2"/>
      <c r="F46" s="2"/>
      <c r="G46" s="2"/>
    </row>
    <row r="47" customFormat="false" ht="15" hidden="false" customHeight="false" outlineLevel="0" collapsed="false">
      <c r="A47" s="84" t="s">
        <v>106</v>
      </c>
      <c r="B47" s="2"/>
      <c r="C47" s="2"/>
      <c r="D47" s="2"/>
      <c r="E47" s="2"/>
      <c r="F47" s="2"/>
      <c r="G47" s="2"/>
    </row>
    <row r="48" customFormat="false" ht="15" hidden="false" customHeight="false" outlineLevel="0" collapsed="false">
      <c r="A48" s="85" t="s">
        <v>54</v>
      </c>
      <c r="B48" s="86"/>
      <c r="C48" s="44" t="s">
        <v>107</v>
      </c>
      <c r="D48" s="45"/>
      <c r="E48" s="45"/>
      <c r="F48" s="2"/>
      <c r="G48" s="2"/>
    </row>
    <row r="49" customFormat="false" ht="15" hidden="false" customHeight="false" outlineLevel="0" collapsed="false">
      <c r="A49" s="87" t="s">
        <v>108</v>
      </c>
      <c r="B49" s="86"/>
      <c r="C49" s="44"/>
      <c r="D49" s="45"/>
      <c r="E49" s="45"/>
      <c r="F49" s="2"/>
      <c r="G49" s="2"/>
    </row>
    <row r="50" customFormat="false" ht="15" hidden="false" customHeight="false" outlineLevel="0" collapsed="false">
      <c r="A50" s="88" t="s">
        <v>109</v>
      </c>
      <c r="B50" s="88"/>
      <c r="C50" s="88"/>
      <c r="D50" s="88"/>
      <c r="E50" s="88"/>
      <c r="F50" s="88"/>
      <c r="G50" s="2"/>
    </row>
    <row r="51" customFormat="false" ht="23.85" hidden="false" customHeight="true" outlineLevel="0" collapsed="false">
      <c r="A51" s="89" t="s">
        <v>110</v>
      </c>
      <c r="B51" s="89"/>
      <c r="C51" s="89"/>
      <c r="D51" s="89"/>
      <c r="E51" s="89"/>
      <c r="F51" s="89"/>
      <c r="G51" s="2"/>
    </row>
    <row r="52" customFormat="false" ht="15" hidden="false" customHeight="false" outlineLevel="0" collapsed="false">
      <c r="A52" s="88" t="s">
        <v>111</v>
      </c>
      <c r="B52" s="86"/>
      <c r="C52" s="44"/>
      <c r="D52" s="45"/>
      <c r="E52" s="45"/>
      <c r="F52" s="2"/>
      <c r="G52" s="2"/>
    </row>
    <row r="53" customFormat="false" ht="15" hidden="false" customHeight="false" outlineLevel="0" collapsed="false">
      <c r="A53" s="90" t="s">
        <v>112</v>
      </c>
      <c r="B53" s="2"/>
      <c r="C53" s="91"/>
      <c r="D53" s="91"/>
      <c r="E53" s="91"/>
      <c r="F53" s="2"/>
      <c r="G53" s="2"/>
    </row>
    <row r="54" customFormat="false" ht="15" hidden="false" customHeight="false" outlineLevel="0" collapsed="false">
      <c r="A54" s="90" t="s">
        <v>113</v>
      </c>
      <c r="B54" s="2"/>
      <c r="C54" s="91"/>
      <c r="D54" s="91"/>
      <c r="E54" s="91"/>
      <c r="F54" s="2"/>
      <c r="G54" s="2"/>
    </row>
    <row r="55" customFormat="false" ht="15" hidden="false" customHeight="true" outlineLevel="0" collapsed="false">
      <c r="A55" s="92" t="s">
        <v>114</v>
      </c>
      <c r="B55" s="93" t="s">
        <v>115</v>
      </c>
      <c r="C55" s="94" t="s">
        <v>116</v>
      </c>
      <c r="D55" s="94"/>
      <c r="E55" s="94"/>
      <c r="F55" s="2"/>
      <c r="G55" s="2"/>
    </row>
    <row r="56" customFormat="false" ht="15" hidden="false" customHeight="false" outlineLevel="0" collapsed="false">
      <c r="A56" s="95" t="n">
        <v>1</v>
      </c>
      <c r="B56" s="96" t="str">
        <f aca="false">IFERROR(VLOOKUP($A56,[1]目錄!$l$5:$N$32,2,0),"")</f>
        <v/>
      </c>
      <c r="C56" s="97" t="str">
        <f aca="false">IFERROR(VLOOKUP($A56,[1]目錄!$l$5:$N$32,3,0),"")</f>
        <v/>
      </c>
      <c r="D56" s="97"/>
      <c r="E56" s="97"/>
      <c r="F56" s="2"/>
      <c r="G56" s="2"/>
    </row>
    <row r="57" customFormat="false" ht="15" hidden="false" customHeight="false" outlineLevel="0" collapsed="false">
      <c r="A57" s="95" t="n">
        <v>2</v>
      </c>
      <c r="B57" s="96" t="str">
        <f aca="false">IFERROR(VLOOKUP($A57,[1]目錄!$l$5:$N$32,2,0),"")</f>
        <v/>
      </c>
      <c r="C57" s="97" t="str">
        <f aca="false">IFERROR(VLOOKUP($A57,[1]目錄!$l$5:$N$32,3,0),"")</f>
        <v/>
      </c>
      <c r="D57" s="97"/>
      <c r="E57" s="97"/>
      <c r="F57" s="2"/>
      <c r="G57" s="2"/>
    </row>
    <row r="58" customFormat="false" ht="15" hidden="false" customHeight="false" outlineLevel="0" collapsed="false">
      <c r="A58" s="95" t="n">
        <v>3</v>
      </c>
      <c r="B58" s="96" t="str">
        <f aca="false">IFERROR(VLOOKUP($A58,[1]目錄!$l$5:$N$32,2,0),"")</f>
        <v/>
      </c>
      <c r="C58" s="97" t="str">
        <f aca="false">IFERROR(VLOOKUP($A58,[1]目錄!$l$5:$N$32,3,0),"")</f>
        <v/>
      </c>
      <c r="D58" s="97"/>
      <c r="E58" s="97"/>
      <c r="F58" s="2"/>
      <c r="G58" s="2"/>
    </row>
    <row r="59" customFormat="false" ht="15" hidden="false" customHeight="false" outlineLevel="0" collapsed="false">
      <c r="A59" s="95" t="n">
        <v>4</v>
      </c>
      <c r="B59" s="96" t="str">
        <f aca="false">IFERROR(VLOOKUP($A59,[1]目錄!$l$5:$N$32,2,0),"")</f>
        <v/>
      </c>
      <c r="C59" s="97" t="str">
        <f aca="false">IFERROR(VLOOKUP($A59,[1]目錄!$l$5:$N$32,3,0),"")</f>
        <v/>
      </c>
      <c r="D59" s="97"/>
      <c r="E59" s="97"/>
      <c r="F59" s="2"/>
      <c r="G59" s="2"/>
    </row>
    <row r="60" customFormat="false" ht="15" hidden="false" customHeight="false" outlineLevel="0" collapsed="false">
      <c r="A60" s="90" t="s">
        <v>117</v>
      </c>
      <c r="B60" s="2"/>
      <c r="C60" s="91"/>
      <c r="D60" s="91"/>
      <c r="E60" s="91"/>
      <c r="F60" s="2"/>
      <c r="G60" s="2"/>
    </row>
    <row r="61" customFormat="false" ht="15" hidden="false" customHeight="true" outlineLevel="0" collapsed="false">
      <c r="A61" s="92" t="s">
        <v>114</v>
      </c>
      <c r="B61" s="93" t="s">
        <v>115</v>
      </c>
      <c r="C61" s="94" t="s">
        <v>116</v>
      </c>
      <c r="D61" s="94"/>
      <c r="E61" s="94"/>
      <c r="F61" s="2"/>
      <c r="G61" s="2"/>
    </row>
    <row r="62" customFormat="false" ht="15" hidden="false" customHeight="false" outlineLevel="0" collapsed="false">
      <c r="A62" s="95" t="n">
        <v>5</v>
      </c>
      <c r="B62" s="96" t="str">
        <f aca="false">IFERROR(VLOOKUP($A62,[1]目錄!$l$5:$N$32,2,0),"")</f>
        <v/>
      </c>
      <c r="C62" s="97" t="str">
        <f aca="false">IFERROR(VLOOKUP($A62,[1]目錄!$l$5:$N$32,3,0),"")</f>
        <v/>
      </c>
      <c r="D62" s="97"/>
      <c r="E62" s="97"/>
      <c r="F62" s="2"/>
      <c r="G62" s="2"/>
    </row>
    <row r="63" customFormat="false" ht="15" hidden="false" customHeight="false" outlineLevel="0" collapsed="false">
      <c r="A63" s="95" t="n">
        <v>6</v>
      </c>
      <c r="B63" s="96" t="str">
        <f aca="false">IFERROR(VLOOKUP($A63,[1]目錄!$l$5:$N$32,2,0),"")</f>
        <v/>
      </c>
      <c r="C63" s="97" t="str">
        <f aca="false">IFERROR(VLOOKUP($A63,[1]目錄!$l$5:$N$32,3,0),"")</f>
        <v/>
      </c>
      <c r="D63" s="97"/>
      <c r="E63" s="97"/>
      <c r="F63" s="2"/>
      <c r="G63" s="2"/>
    </row>
    <row r="64" customFormat="false" ht="15" hidden="false" customHeight="false" outlineLevel="0" collapsed="false">
      <c r="A64" s="95" t="n">
        <v>7</v>
      </c>
      <c r="B64" s="96" t="str">
        <f aca="false">IFERROR(VLOOKUP($A64,[1]目錄!$l$5:$N$32,2,0),"")</f>
        <v/>
      </c>
      <c r="C64" s="97" t="str">
        <f aca="false">IFERROR(VLOOKUP($A64,[1]目錄!$l$5:$N$32,3,0),"")</f>
        <v/>
      </c>
      <c r="D64" s="97"/>
      <c r="E64" s="97"/>
      <c r="F64" s="2"/>
      <c r="G64" s="2"/>
    </row>
    <row r="65" customFormat="false" ht="15" hidden="false" customHeight="false" outlineLevel="0" collapsed="false">
      <c r="A65" s="95" t="n">
        <v>8</v>
      </c>
      <c r="B65" s="96" t="str">
        <f aca="false">IFERROR(VLOOKUP($A65,[1]目錄!$l$5:$N$32,2,0),"")</f>
        <v/>
      </c>
      <c r="C65" s="97" t="str">
        <f aca="false">IFERROR(VLOOKUP($A65,[1]目錄!$l$5:$N$32,3,0),"")</f>
        <v/>
      </c>
      <c r="D65" s="97"/>
      <c r="E65" s="97"/>
      <c r="F65" s="2"/>
      <c r="G65" s="2"/>
    </row>
    <row r="66" customFormat="false" ht="25.35" hidden="false" customHeight="true" outlineLevel="0" collapsed="false">
      <c r="A66" s="98" t="s">
        <v>118</v>
      </c>
      <c r="B66" s="98"/>
      <c r="C66" s="98"/>
      <c r="D66" s="98"/>
      <c r="E66" s="98"/>
      <c r="F66" s="5"/>
      <c r="G66" s="5"/>
    </row>
    <row r="67" customFormat="false" ht="15" hidden="false" customHeight="false" outlineLevel="0" collapsed="false">
      <c r="A67" s="90" t="s">
        <v>119</v>
      </c>
      <c r="B67" s="2"/>
      <c r="C67" s="91"/>
      <c r="D67" s="91"/>
      <c r="E67" s="91"/>
      <c r="F67" s="2"/>
      <c r="G67" s="2"/>
    </row>
    <row r="68" customFormat="false" ht="15" hidden="false" customHeight="true" outlineLevel="0" collapsed="false">
      <c r="A68" s="92" t="s">
        <v>114</v>
      </c>
      <c r="B68" s="99" t="s">
        <v>115</v>
      </c>
      <c r="C68" s="99" t="s">
        <v>116</v>
      </c>
      <c r="D68" s="99"/>
      <c r="E68" s="99"/>
      <c r="F68" s="2"/>
      <c r="G68" s="2"/>
    </row>
    <row r="69" customFormat="false" ht="15" hidden="false" customHeight="false" outlineLevel="0" collapsed="false">
      <c r="A69" s="100" t="n">
        <v>9</v>
      </c>
      <c r="B69" s="96" t="str">
        <f aca="false">IFERROR(VLOOKUP($A69,[1]目錄!$l$5:$N$32,2,0),"")</f>
        <v/>
      </c>
      <c r="C69" s="97" t="str">
        <f aca="false">IFERROR(VLOOKUP($A69,[1]目錄!$l$5:$N$32,3,0),"")</f>
        <v/>
      </c>
      <c r="D69" s="97"/>
      <c r="E69" s="97"/>
      <c r="F69" s="2"/>
      <c r="G69" s="2"/>
    </row>
    <row r="70" customFormat="false" ht="15" hidden="false" customHeight="false" outlineLevel="0" collapsed="false">
      <c r="A70" s="100" t="n">
        <v>10</v>
      </c>
      <c r="B70" s="96" t="str">
        <f aca="false">IFERROR(VLOOKUP($A70,[1]目錄!$l$5:$N$32,2,0),"")</f>
        <v/>
      </c>
      <c r="C70" s="97" t="str">
        <f aca="false">IFERROR(VLOOKUP($A70,[1]目錄!$l$5:$N$32,3,0),"")</f>
        <v/>
      </c>
      <c r="D70" s="97"/>
      <c r="E70" s="97"/>
      <c r="F70" s="2"/>
      <c r="G70" s="2"/>
    </row>
    <row r="71" customFormat="false" ht="15" hidden="false" customHeight="false" outlineLevel="0" collapsed="false">
      <c r="A71" s="5" t="s">
        <v>120</v>
      </c>
      <c r="B71" s="101"/>
      <c r="C71" s="102"/>
      <c r="D71" s="102"/>
      <c r="E71" s="102"/>
      <c r="F71" s="2"/>
      <c r="G71" s="2"/>
    </row>
    <row r="72" customFormat="false" ht="15" hidden="false" customHeight="true" outlineLevel="0" collapsed="false">
      <c r="A72" s="92" t="s">
        <v>114</v>
      </c>
      <c r="B72" s="99" t="s">
        <v>115</v>
      </c>
      <c r="C72" s="99" t="s">
        <v>116</v>
      </c>
      <c r="D72" s="99"/>
      <c r="E72" s="99"/>
      <c r="F72" s="2"/>
      <c r="G72" s="2"/>
    </row>
    <row r="73" customFormat="false" ht="15" hidden="false" customHeight="false" outlineLevel="0" collapsed="false">
      <c r="A73" s="100" t="n">
        <v>11</v>
      </c>
      <c r="B73" s="96" t="str">
        <f aca="false">IFERROR(VLOOKUP($A73,[1]目錄!$l$5:$N$32,2,0),"")</f>
        <v/>
      </c>
      <c r="C73" s="97" t="str">
        <f aca="false">IFERROR(VLOOKUP($A73,[1]目錄!$l$5:$N$32,3,0),"")</f>
        <v/>
      </c>
      <c r="D73" s="97"/>
      <c r="E73" s="97"/>
      <c r="F73" s="2"/>
      <c r="G73" s="2"/>
    </row>
    <row r="74" customFormat="false" ht="15" hidden="false" customHeight="false" outlineLevel="0" collapsed="false">
      <c r="A74" s="100" t="n">
        <v>12</v>
      </c>
      <c r="B74" s="96" t="str">
        <f aca="false">IFERROR(VLOOKUP($A74,[1]目錄!$l$5:$N$32,2,0),"")</f>
        <v/>
      </c>
      <c r="C74" s="97" t="str">
        <f aca="false">IFERROR(VLOOKUP($A74,[1]目錄!$l$5:$N$32,3,0),"")</f>
        <v/>
      </c>
      <c r="D74" s="97"/>
      <c r="E74" s="97"/>
      <c r="F74" s="2"/>
      <c r="G74" s="2"/>
    </row>
    <row r="75" customFormat="false" ht="15" hidden="false" customHeight="false" outlineLevel="0" collapsed="false">
      <c r="A75" s="100" t="n">
        <v>13</v>
      </c>
      <c r="B75" s="96" t="str">
        <f aca="false">IFERROR(VLOOKUP($A75,[1]目錄!$l$5:$N$32,2,0),"")</f>
        <v/>
      </c>
      <c r="C75" s="97" t="str">
        <f aca="false">IFERROR(VLOOKUP($A75,[1]目錄!$l$5:$N$32,3,0),"")</f>
        <v/>
      </c>
      <c r="D75" s="97"/>
      <c r="E75" s="97"/>
      <c r="F75" s="2"/>
      <c r="G75" s="2"/>
    </row>
    <row r="76" customFormat="false" ht="15" hidden="false" customHeight="false" outlineLevel="0" collapsed="false">
      <c r="A76" s="100" t="n">
        <v>14</v>
      </c>
      <c r="B76" s="96" t="str">
        <f aca="false">IFERROR(VLOOKUP($A76,[1]目錄!$l$5:$N$32,2,0),"")</f>
        <v/>
      </c>
      <c r="C76" s="97" t="str">
        <f aca="false">IFERROR(VLOOKUP($A76,[1]目錄!$l$5:$N$32,3,0),"")</f>
        <v/>
      </c>
      <c r="D76" s="97"/>
      <c r="E76" s="97"/>
      <c r="F76" s="2"/>
      <c r="G76" s="2"/>
    </row>
    <row r="77" customFormat="false" ht="15" hidden="false" customHeight="false" outlineLevel="0" collapsed="false">
      <c r="A77" s="100" t="n">
        <v>15</v>
      </c>
      <c r="B77" s="96" t="str">
        <f aca="false">IFERROR(VLOOKUP($A77,[1]目錄!$l$5:$N$32,2,0),"")</f>
        <v/>
      </c>
      <c r="C77" s="97" t="str">
        <f aca="false">IFERROR(VLOOKUP($A77,[1]目錄!$l$5:$N$32,3,0),"")</f>
        <v/>
      </c>
      <c r="D77" s="97"/>
      <c r="E77" s="97"/>
      <c r="F77" s="2"/>
      <c r="G77" s="2"/>
    </row>
    <row r="78" customFormat="false" ht="15" hidden="false" customHeight="false" outlineLevel="0" collapsed="false">
      <c r="A78" s="5" t="s">
        <v>121</v>
      </c>
      <c r="B78" s="102"/>
      <c r="C78" s="102"/>
      <c r="D78" s="102"/>
      <c r="E78" s="2"/>
      <c r="F78" s="2"/>
      <c r="G78" s="2"/>
    </row>
    <row r="79" customFormat="false" ht="15" hidden="false" customHeight="true" outlineLevel="0" collapsed="false">
      <c r="A79" s="92" t="s">
        <v>114</v>
      </c>
      <c r="B79" s="99" t="s">
        <v>115</v>
      </c>
      <c r="C79" s="103" t="s">
        <v>116</v>
      </c>
      <c r="D79" s="103"/>
      <c r="E79" s="103"/>
      <c r="F79" s="2"/>
      <c r="G79" s="2"/>
    </row>
    <row r="80" customFormat="false" ht="15" hidden="false" customHeight="false" outlineLevel="0" collapsed="false">
      <c r="A80" s="100" t="n">
        <v>16</v>
      </c>
      <c r="B80" s="96" t="str">
        <f aca="false">IFERROR(VLOOKUP($A80,[1]目錄!$l$5:$N$32,2,0),"")</f>
        <v/>
      </c>
      <c r="C80" s="97" t="str">
        <f aca="false">IFERROR(VLOOKUP($A80,[1]目錄!$l$5:$N$32,3,0),"")</f>
        <v/>
      </c>
      <c r="D80" s="97"/>
      <c r="E80" s="97"/>
      <c r="F80" s="2"/>
      <c r="G80" s="2"/>
    </row>
    <row r="81" customFormat="false" ht="15" hidden="false" customHeight="false" outlineLevel="0" collapsed="false">
      <c r="A81" s="100" t="n">
        <v>17</v>
      </c>
      <c r="B81" s="96" t="str">
        <f aca="false">IFERROR(VLOOKUP($A81,[1]目錄!$l$5:$N$32,2,0),"")</f>
        <v/>
      </c>
      <c r="C81" s="97" t="str">
        <f aca="false">IFERROR(VLOOKUP($A81,[1]目錄!$l$5:$N$32,3,0),"")</f>
        <v/>
      </c>
      <c r="D81" s="97"/>
      <c r="E81" s="97"/>
      <c r="F81" s="2"/>
      <c r="G81" s="2"/>
    </row>
    <row r="82" customFormat="false" ht="15" hidden="false" customHeight="false" outlineLevel="0" collapsed="false">
      <c r="A82" s="100" t="n">
        <v>18</v>
      </c>
      <c r="B82" s="96" t="str">
        <f aca="false">IFERROR(VLOOKUP($A82,[1]目錄!$l$5:$N$32,2,0),"")</f>
        <v/>
      </c>
      <c r="C82" s="97" t="str">
        <f aca="false">IFERROR(VLOOKUP($A82,[1]目錄!$l$5:$N$32,3,0),"")</f>
        <v/>
      </c>
      <c r="D82" s="97"/>
      <c r="E82" s="97"/>
      <c r="F82" s="2"/>
      <c r="G82" s="2"/>
    </row>
    <row r="83" customFormat="false" ht="15" hidden="false" customHeight="false" outlineLevel="0" collapsed="false">
      <c r="A83" s="100" t="n">
        <v>19</v>
      </c>
      <c r="B83" s="96" t="str">
        <f aca="false">IFERROR(VLOOKUP($A83,[1]目錄!$l$5:$N$32,2,0),"")</f>
        <v/>
      </c>
      <c r="C83" s="97" t="str">
        <f aca="false">IFERROR(VLOOKUP($A83,[1]目錄!$l$5:$N$32,3,0),"")</f>
        <v/>
      </c>
      <c r="D83" s="97"/>
      <c r="E83" s="97"/>
      <c r="F83" s="2"/>
      <c r="G83" s="2"/>
    </row>
    <row r="84" customFormat="false" ht="15" hidden="false" customHeight="false" outlineLevel="0" collapsed="false">
      <c r="A84" s="104"/>
      <c r="B84" s="105"/>
      <c r="C84" s="106"/>
      <c r="D84" s="106"/>
      <c r="E84" s="106"/>
      <c r="F84" s="2"/>
      <c r="G84" s="2"/>
    </row>
    <row r="85" customFormat="false" ht="17.15" hidden="false" customHeight="false" outlineLevel="0" collapsed="false">
      <c r="A85" s="107" t="s">
        <v>122</v>
      </c>
      <c r="B85" s="108"/>
      <c r="C85" s="108"/>
      <c r="D85" s="108"/>
      <c r="E85" s="108"/>
      <c r="F85" s="108"/>
      <c r="G85" s="108"/>
    </row>
    <row r="86" customFormat="false" ht="15" hidden="false" customHeight="false" outlineLevel="0" collapsed="false">
      <c r="A86" s="109" t="s">
        <v>108</v>
      </c>
      <c r="B86" s="108"/>
      <c r="C86" s="108"/>
      <c r="D86" s="108"/>
      <c r="E86" s="108"/>
      <c r="F86" s="108"/>
      <c r="G86" s="108"/>
    </row>
    <row r="87" customFormat="false" ht="15" hidden="false" customHeight="true" outlineLevel="0" collapsed="false">
      <c r="A87" s="110" t="s">
        <v>123</v>
      </c>
      <c r="B87" s="110"/>
      <c r="C87" s="110"/>
      <c r="D87" s="110"/>
      <c r="E87" s="110"/>
      <c r="F87" s="110"/>
      <c r="G87" s="108"/>
    </row>
    <row r="88" customFormat="false" ht="15" hidden="false" customHeight="false" outlineLevel="0" collapsed="false">
      <c r="A88" s="111" t="s">
        <v>112</v>
      </c>
      <c r="B88" s="111"/>
      <c r="C88" s="112"/>
      <c r="D88" s="112"/>
      <c r="E88" s="113"/>
      <c r="F88" s="113"/>
      <c r="G88" s="113"/>
    </row>
    <row r="89" customFormat="false" ht="15" hidden="false" customHeight="false" outlineLevel="0" collapsed="false">
      <c r="A89" s="111" t="s">
        <v>113</v>
      </c>
      <c r="B89" s="111"/>
      <c r="C89" s="111"/>
      <c r="D89" s="111"/>
      <c r="E89" s="111"/>
      <c r="F89" s="111"/>
      <c r="G89" s="111"/>
    </row>
    <row r="90" customFormat="false" ht="15" hidden="false" customHeight="true" outlineLevel="0" collapsed="false">
      <c r="A90" s="114" t="s">
        <v>114</v>
      </c>
      <c r="B90" s="115" t="s">
        <v>115</v>
      </c>
      <c r="C90" s="116" t="s">
        <v>116</v>
      </c>
      <c r="D90" s="116"/>
      <c r="E90" s="116"/>
      <c r="F90" s="116"/>
      <c r="G90" s="116"/>
    </row>
    <row r="91" customFormat="false" ht="15" hidden="false" customHeight="true" outlineLevel="0" collapsed="false">
      <c r="A91" s="117" t="n">
        <v>1</v>
      </c>
      <c r="B91" s="118" t="s">
        <v>124</v>
      </c>
      <c r="C91" s="119" t="s">
        <v>125</v>
      </c>
      <c r="D91" s="119"/>
      <c r="E91" s="119"/>
      <c r="F91" s="119"/>
      <c r="G91" s="119"/>
    </row>
    <row r="92" customFormat="false" ht="15" hidden="false" customHeight="true" outlineLevel="0" collapsed="false">
      <c r="A92" s="117" t="n">
        <v>2</v>
      </c>
      <c r="B92" s="118" t="s">
        <v>126</v>
      </c>
      <c r="C92" s="119" t="s">
        <v>127</v>
      </c>
      <c r="D92" s="119"/>
      <c r="E92" s="119"/>
      <c r="F92" s="119"/>
      <c r="G92" s="119"/>
    </row>
    <row r="93" customFormat="false" ht="15" hidden="false" customHeight="true" outlineLevel="0" collapsed="false">
      <c r="A93" s="117" t="n">
        <v>3</v>
      </c>
      <c r="B93" s="118" t="s">
        <v>128</v>
      </c>
      <c r="C93" s="119" t="s">
        <v>129</v>
      </c>
      <c r="D93" s="119"/>
      <c r="E93" s="119"/>
      <c r="F93" s="119"/>
      <c r="G93" s="119"/>
    </row>
    <row r="94" customFormat="false" ht="15" hidden="false" customHeight="true" outlineLevel="0" collapsed="false">
      <c r="A94" s="117" t="n">
        <v>4</v>
      </c>
      <c r="B94" s="118" t="s">
        <v>130</v>
      </c>
      <c r="C94" s="119" t="s">
        <v>131</v>
      </c>
      <c r="D94" s="119"/>
      <c r="E94" s="119"/>
      <c r="F94" s="119"/>
      <c r="G94" s="119"/>
    </row>
    <row r="95" customFormat="false" ht="15" hidden="false" customHeight="false" outlineLevel="0" collapsed="false">
      <c r="A95" s="111" t="s">
        <v>132</v>
      </c>
      <c r="B95" s="112"/>
      <c r="C95" s="112"/>
      <c r="D95" s="113"/>
      <c r="E95" s="113"/>
      <c r="F95" s="113"/>
      <c r="G95" s="113"/>
    </row>
    <row r="96" customFormat="false" ht="15" hidden="false" customHeight="true" outlineLevel="0" collapsed="false">
      <c r="A96" s="114" t="s">
        <v>114</v>
      </c>
      <c r="B96" s="120" t="s">
        <v>115</v>
      </c>
      <c r="C96" s="121" t="s">
        <v>116</v>
      </c>
      <c r="D96" s="121"/>
      <c r="E96" s="121"/>
      <c r="F96" s="121"/>
      <c r="G96" s="121"/>
    </row>
    <row r="97" customFormat="false" ht="15" hidden="false" customHeight="true" outlineLevel="0" collapsed="false">
      <c r="A97" s="122" t="n">
        <v>9</v>
      </c>
      <c r="B97" s="118" t="s">
        <v>133</v>
      </c>
      <c r="C97" s="123" t="s">
        <v>134</v>
      </c>
      <c r="D97" s="123"/>
      <c r="E97" s="123"/>
      <c r="F97" s="123"/>
      <c r="G97" s="123"/>
    </row>
    <row r="98" customFormat="false" ht="15" hidden="false" customHeight="false" outlineLevel="0" collapsed="false">
      <c r="A98" s="124" t="s">
        <v>135</v>
      </c>
      <c r="B98" s="125"/>
      <c r="C98" s="125"/>
      <c r="D98" s="125"/>
      <c r="E98" s="125"/>
      <c r="F98" s="125"/>
      <c r="G98" s="125"/>
    </row>
    <row r="99" customFormat="false" ht="15" hidden="false" customHeight="true" outlineLevel="0" collapsed="false">
      <c r="A99" s="114" t="s">
        <v>114</v>
      </c>
      <c r="B99" s="120" t="s">
        <v>115</v>
      </c>
      <c r="C99" s="121" t="s">
        <v>116</v>
      </c>
      <c r="D99" s="121"/>
      <c r="E99" s="121"/>
      <c r="F99" s="121"/>
      <c r="G99" s="121"/>
    </row>
    <row r="100" customFormat="false" ht="15" hidden="false" customHeight="true" outlineLevel="0" collapsed="false">
      <c r="A100" s="122" t="n">
        <v>11</v>
      </c>
      <c r="B100" s="118" t="s">
        <v>136</v>
      </c>
      <c r="C100" s="119" t="s">
        <v>137</v>
      </c>
      <c r="D100" s="119"/>
      <c r="E100" s="119"/>
      <c r="F100" s="119"/>
      <c r="G100" s="119"/>
    </row>
    <row r="101" customFormat="false" ht="15" hidden="false" customHeight="true" outlineLevel="0" collapsed="false">
      <c r="A101" s="122" t="n">
        <v>12</v>
      </c>
      <c r="B101" s="118" t="s">
        <v>138</v>
      </c>
      <c r="C101" s="119" t="s">
        <v>139</v>
      </c>
      <c r="D101" s="119"/>
      <c r="E101" s="119"/>
      <c r="F101" s="119"/>
      <c r="G101" s="119"/>
    </row>
    <row r="102" customFormat="false" ht="15" hidden="false" customHeight="true" outlineLevel="0" collapsed="false">
      <c r="A102" s="122" t="n">
        <v>13</v>
      </c>
      <c r="B102" s="118" t="s">
        <v>140</v>
      </c>
      <c r="C102" s="119" t="s">
        <v>141</v>
      </c>
      <c r="D102" s="119"/>
      <c r="E102" s="119"/>
      <c r="F102" s="119"/>
      <c r="G102" s="119"/>
    </row>
    <row r="103" customFormat="false" ht="15" hidden="false" customHeight="true" outlineLevel="0" collapsed="false">
      <c r="A103" s="122" t="n">
        <v>14</v>
      </c>
      <c r="B103" s="118" t="s">
        <v>142</v>
      </c>
      <c r="C103" s="119" t="s">
        <v>143</v>
      </c>
      <c r="D103" s="119"/>
      <c r="E103" s="119"/>
      <c r="F103" s="119"/>
      <c r="G103" s="119"/>
    </row>
    <row r="104" customFormat="false" ht="15" hidden="false" customHeight="true" outlineLevel="0" collapsed="false">
      <c r="A104" s="122" t="n">
        <v>15</v>
      </c>
      <c r="B104" s="118" t="s">
        <v>144</v>
      </c>
      <c r="C104" s="119" t="s">
        <v>145</v>
      </c>
      <c r="D104" s="119"/>
      <c r="E104" s="119"/>
      <c r="F104" s="119"/>
      <c r="G104" s="119"/>
    </row>
    <row r="105" customFormat="false" ht="15" hidden="false" customHeight="false" outlineLevel="0" collapsed="false">
      <c r="A105" s="125"/>
      <c r="B105" s="125"/>
      <c r="C105" s="125"/>
      <c r="D105" s="125"/>
      <c r="E105" s="125"/>
      <c r="F105" s="125"/>
      <c r="G105" s="125"/>
    </row>
    <row r="106" customFormat="false" ht="25.35" hidden="false" customHeight="true" outlineLevel="0" collapsed="false">
      <c r="A106" s="126" t="s">
        <v>146</v>
      </c>
      <c r="B106" s="126"/>
      <c r="C106" s="126"/>
      <c r="D106" s="126"/>
      <c r="E106" s="126"/>
      <c r="F106" s="126"/>
      <c r="G106" s="126"/>
    </row>
    <row r="107" customFormat="false" ht="15" hidden="false" customHeight="true" outlineLevel="0" collapsed="false">
      <c r="A107" s="126" t="s">
        <v>147</v>
      </c>
      <c r="B107" s="126"/>
      <c r="C107" s="126"/>
      <c r="D107" s="126"/>
      <c r="E107" s="126"/>
      <c r="F107" s="126"/>
      <c r="G107" s="126"/>
    </row>
    <row r="108" customFormat="false" ht="15" hidden="false" customHeight="false" outlineLevel="0" collapsed="false">
      <c r="A108" s="84" t="s">
        <v>148</v>
      </c>
      <c r="B108" s="127"/>
      <c r="C108" s="127"/>
      <c r="D108" s="127"/>
      <c r="E108" s="127"/>
      <c r="F108" s="127"/>
      <c r="G108" s="127"/>
    </row>
    <row r="109" customFormat="false" ht="15" hidden="false" customHeight="false" outlineLevel="0" collapsed="false">
      <c r="A109" s="84" t="s">
        <v>149</v>
      </c>
      <c r="B109" s="127"/>
      <c r="C109" s="127"/>
      <c r="D109" s="127"/>
      <c r="E109" s="127"/>
      <c r="F109" s="127"/>
      <c r="G109" s="127"/>
    </row>
    <row r="110" customFormat="false" ht="15" hidden="false" customHeight="true" outlineLevel="0" collapsed="false">
      <c r="A110" s="126" t="s">
        <v>150</v>
      </c>
      <c r="B110" s="126"/>
      <c r="C110" s="126"/>
      <c r="D110" s="126"/>
      <c r="E110" s="126"/>
      <c r="F110" s="126"/>
      <c r="G110" s="126"/>
    </row>
    <row r="111" customFormat="false" ht="15" hidden="false" customHeight="false" outlineLevel="0" collapsed="false">
      <c r="A111" s="84" t="s">
        <v>151</v>
      </c>
      <c r="B111" s="127"/>
      <c r="C111" s="127"/>
      <c r="D111" s="127"/>
      <c r="E111" s="127"/>
      <c r="F111" s="127"/>
      <c r="G111" s="127"/>
    </row>
    <row r="112" customFormat="false" ht="15" hidden="false" customHeight="false" outlineLevel="0" collapsed="false">
      <c r="A112" s="84" t="s">
        <v>152</v>
      </c>
      <c r="B112" s="127"/>
      <c r="C112" s="127"/>
      <c r="D112" s="127"/>
      <c r="E112" s="127"/>
      <c r="F112" s="127"/>
      <c r="G112" s="127"/>
    </row>
    <row r="113" customFormat="false" ht="15" hidden="false" customHeight="false" outlineLevel="0" collapsed="false">
      <c r="A113" s="84" t="s">
        <v>153</v>
      </c>
      <c r="B113" s="84"/>
      <c r="C113" s="84"/>
      <c r="D113" s="84"/>
      <c r="E113" s="2"/>
      <c r="F113" s="2"/>
      <c r="G113" s="2"/>
    </row>
    <row r="114" customFormat="false" ht="15" hidden="false" customHeight="false" outlineLevel="0" collapsed="false">
      <c r="A114" s="84" t="s">
        <v>154</v>
      </c>
      <c r="B114" s="84"/>
      <c r="C114" s="84"/>
      <c r="D114" s="84"/>
      <c r="E114" s="84"/>
      <c r="F114" s="84"/>
      <c r="G114" s="84"/>
    </row>
    <row r="115" customFormat="false" ht="15" hidden="false" customHeight="true" outlineLevel="0" collapsed="false">
      <c r="A115" s="126" t="s">
        <v>155</v>
      </c>
      <c r="B115" s="126"/>
      <c r="C115" s="126"/>
      <c r="D115" s="126"/>
      <c r="E115" s="126"/>
      <c r="F115" s="126"/>
      <c r="G115" s="126"/>
    </row>
    <row r="116" customFormat="false" ht="25.35" hidden="false" customHeight="true" outlineLevel="0" collapsed="false">
      <c r="A116" s="126" t="s">
        <v>156</v>
      </c>
      <c r="B116" s="126"/>
      <c r="C116" s="126"/>
      <c r="D116" s="126"/>
      <c r="E116" s="126"/>
      <c r="F116" s="126"/>
      <c r="G116" s="126"/>
    </row>
    <row r="117" customFormat="false" ht="25.35" hidden="false" customHeight="true" outlineLevel="0" collapsed="false">
      <c r="A117" s="126" t="s">
        <v>157</v>
      </c>
      <c r="B117" s="126"/>
      <c r="C117" s="126"/>
      <c r="D117" s="126"/>
      <c r="E117" s="126"/>
      <c r="F117" s="126"/>
      <c r="G117" s="126"/>
    </row>
    <row r="118" customFormat="false" ht="25.35" hidden="false" customHeight="true" outlineLevel="0" collapsed="false">
      <c r="A118" s="29" t="s">
        <v>158</v>
      </c>
      <c r="B118" s="29"/>
      <c r="C118" s="29"/>
      <c r="D118" s="29"/>
      <c r="E118" s="29"/>
      <c r="F118" s="29"/>
      <c r="G118" s="29"/>
    </row>
    <row r="119" customFormat="false" ht="25.35" hidden="false" customHeight="true" outlineLevel="0" collapsed="false">
      <c r="A119" s="126" t="s">
        <v>159</v>
      </c>
      <c r="B119" s="126"/>
      <c r="C119" s="126"/>
      <c r="D119" s="126"/>
      <c r="E119" s="126"/>
      <c r="F119" s="126"/>
      <c r="G119" s="126"/>
    </row>
    <row r="120" customFormat="false" ht="15" hidden="false" customHeight="true" outlineLevel="0" collapsed="false">
      <c r="A120" s="128" t="s">
        <v>160</v>
      </c>
      <c r="B120" s="128"/>
      <c r="C120" s="126"/>
      <c r="D120" s="126"/>
      <c r="E120" s="126"/>
      <c r="F120" s="126"/>
      <c r="G120" s="126"/>
    </row>
    <row r="121" customFormat="false" ht="15" hidden="false" customHeight="false" outlineLevel="0" collapsed="false">
      <c r="A121" s="129" t="s">
        <v>115</v>
      </c>
      <c r="B121" s="130" t="s">
        <v>161</v>
      </c>
      <c r="C121" s="130"/>
      <c r="D121" s="130"/>
      <c r="E121" s="130"/>
      <c r="F121" s="130"/>
      <c r="G121" s="130"/>
    </row>
    <row r="122" customFormat="false" ht="15" hidden="false" customHeight="false" outlineLevel="0" collapsed="false">
      <c r="A122" s="129" t="s">
        <v>162</v>
      </c>
      <c r="B122" s="130" t="s">
        <v>163</v>
      </c>
      <c r="C122" s="130"/>
      <c r="D122" s="130"/>
      <c r="E122" s="130"/>
      <c r="F122" s="130"/>
      <c r="G122" s="130"/>
    </row>
    <row r="123" customFormat="false" ht="15" hidden="false" customHeight="true" outlineLevel="0" collapsed="false">
      <c r="A123" s="129" t="s">
        <v>164</v>
      </c>
      <c r="B123" s="97" t="s">
        <v>165</v>
      </c>
      <c r="C123" s="97"/>
      <c r="D123" s="97"/>
      <c r="E123" s="97"/>
      <c r="F123" s="97"/>
      <c r="G123" s="97"/>
    </row>
    <row r="124" customFormat="false" ht="15" hidden="false" customHeight="false" outlineLevel="0" collapsed="false">
      <c r="A124" s="129" t="s">
        <v>166</v>
      </c>
      <c r="B124" s="130" t="s">
        <v>167</v>
      </c>
      <c r="C124" s="130"/>
      <c r="D124" s="130"/>
      <c r="E124" s="130"/>
      <c r="F124" s="130"/>
      <c r="G124" s="130"/>
    </row>
    <row r="125" customFormat="false" ht="15" hidden="false" customHeight="false" outlineLevel="0" collapsed="false">
      <c r="A125" s="129" t="s">
        <v>168</v>
      </c>
      <c r="B125" s="130" t="s">
        <v>169</v>
      </c>
      <c r="C125" s="130"/>
      <c r="D125" s="130"/>
      <c r="E125" s="130"/>
      <c r="F125" s="130"/>
      <c r="G125" s="130"/>
    </row>
    <row r="126" customFormat="false" ht="15" hidden="false" customHeight="true" outlineLevel="0" collapsed="false">
      <c r="A126" s="129" t="s">
        <v>170</v>
      </c>
      <c r="B126" s="97" t="s">
        <v>171</v>
      </c>
      <c r="C126" s="97"/>
      <c r="D126" s="97"/>
      <c r="E126" s="97"/>
      <c r="F126" s="97"/>
      <c r="G126" s="97"/>
    </row>
    <row r="127" customFormat="false" ht="15" hidden="false" customHeight="false" outlineLevel="0" collapsed="false">
      <c r="A127" s="129" t="s">
        <v>172</v>
      </c>
      <c r="B127" s="130" t="s">
        <v>173</v>
      </c>
      <c r="C127" s="130"/>
      <c r="D127" s="130"/>
      <c r="E127" s="130"/>
      <c r="F127" s="130"/>
      <c r="G127" s="130"/>
    </row>
    <row r="128" customFormat="false" ht="15" hidden="false" customHeight="false" outlineLevel="0" collapsed="false">
      <c r="A128" s="131" t="s">
        <v>172</v>
      </c>
      <c r="B128" s="132"/>
      <c r="C128" s="132"/>
      <c r="D128" s="132"/>
      <c r="E128" s="132"/>
      <c r="F128" s="132"/>
      <c r="G128" s="132"/>
    </row>
    <row r="129" customFormat="false" ht="15" hidden="false" customHeight="true" outlineLevel="0" collapsed="false">
      <c r="A129" s="133" t="s">
        <v>174</v>
      </c>
      <c r="B129" s="133"/>
      <c r="C129" s="133"/>
      <c r="D129" s="133"/>
      <c r="E129" s="133"/>
      <c r="F129" s="133"/>
      <c r="G129" s="133"/>
    </row>
    <row r="130" customFormat="false" ht="25.35" hidden="false" customHeight="true" outlineLevel="0" collapsed="false">
      <c r="A130" s="133" t="s">
        <v>175</v>
      </c>
      <c r="B130" s="133"/>
      <c r="C130" s="133"/>
      <c r="D130" s="133"/>
      <c r="E130" s="133"/>
      <c r="F130" s="133"/>
      <c r="G130" s="133"/>
    </row>
    <row r="131" customFormat="false" ht="25.35" hidden="false" customHeight="true" outlineLevel="0" collapsed="false">
      <c r="A131" s="133" t="s">
        <v>176</v>
      </c>
      <c r="B131" s="133"/>
      <c r="C131" s="133"/>
      <c r="D131" s="133"/>
      <c r="E131" s="133"/>
      <c r="F131" s="133"/>
      <c r="G131" s="133"/>
    </row>
    <row r="132" customFormat="false" ht="15" hidden="false" customHeight="false" outlineLevel="0" collapsed="false">
      <c r="A132" s="134" t="s">
        <v>177</v>
      </c>
      <c r="B132" s="132"/>
      <c r="C132" s="132"/>
      <c r="D132" s="132"/>
      <c r="E132" s="132" t="s">
        <v>178</v>
      </c>
      <c r="F132" s="132"/>
      <c r="G132" s="132"/>
    </row>
    <row r="133" customFormat="false" ht="15" hidden="false" customHeight="false" outlineLevel="0" collapsed="false">
      <c r="A133" s="134" t="s">
        <v>179</v>
      </c>
      <c r="B133" s="132"/>
      <c r="C133" s="132"/>
      <c r="D133" s="132"/>
      <c r="E133" s="132"/>
      <c r="F133" s="132"/>
      <c r="G133" s="132"/>
    </row>
    <row r="134" customFormat="false" ht="15" hidden="false" customHeight="false" outlineLevel="0" collapsed="false">
      <c r="A134" s="135" t="s">
        <v>180</v>
      </c>
      <c r="B134" s="135"/>
      <c r="C134" s="135"/>
      <c r="D134" s="135"/>
      <c r="E134" s="135"/>
      <c r="F134" s="135"/>
      <c r="G134" s="135"/>
    </row>
    <row r="135" customFormat="false" ht="25.35" hidden="false" customHeight="true" outlineLevel="0" collapsed="false">
      <c r="A135" s="133" t="s">
        <v>181</v>
      </c>
      <c r="B135" s="133"/>
      <c r="C135" s="133"/>
      <c r="D135" s="133"/>
      <c r="E135" s="133"/>
      <c r="F135" s="133"/>
      <c r="G135" s="133"/>
    </row>
    <row r="136" customFormat="false" ht="15" hidden="false" customHeight="false" outlineLevel="0" collapsed="false">
      <c r="A136" s="134" t="s">
        <v>182</v>
      </c>
      <c r="B136" s="134"/>
      <c r="C136" s="134"/>
      <c r="D136" s="134"/>
      <c r="E136" s="134"/>
      <c r="F136" s="134"/>
      <c r="G136" s="134"/>
    </row>
    <row r="137" customFormat="false" ht="15" hidden="false" customHeight="false" outlineLevel="0" collapsed="false">
      <c r="A137" s="134" t="s">
        <v>183</v>
      </c>
      <c r="B137" s="132"/>
      <c r="C137" s="132"/>
      <c r="D137" s="132"/>
      <c r="E137" s="132"/>
      <c r="F137" s="132"/>
      <c r="G137" s="132"/>
    </row>
    <row r="138" customFormat="false" ht="15" hidden="false" customHeight="false" outlineLevel="0" collapsed="false">
      <c r="A138" s="134" t="s">
        <v>184</v>
      </c>
      <c r="B138" s="132"/>
      <c r="C138" s="136" t="s">
        <v>185</v>
      </c>
      <c r="D138" s="136"/>
      <c r="E138" s="132"/>
      <c r="F138" s="132"/>
      <c r="G138" s="132"/>
    </row>
    <row r="139" customFormat="false" ht="15" hidden="false" customHeight="false" outlineLevel="0" collapsed="false">
      <c r="A139" s="134" t="s">
        <v>186</v>
      </c>
      <c r="B139" s="132"/>
      <c r="C139" s="132"/>
      <c r="D139" s="132"/>
      <c r="E139" s="132"/>
      <c r="F139" s="132"/>
      <c r="G139" s="132"/>
    </row>
    <row r="140" customFormat="false" ht="15" hidden="false" customHeight="false" outlineLevel="0" collapsed="false">
      <c r="A140" s="134" t="s">
        <v>187</v>
      </c>
      <c r="B140" s="132"/>
      <c r="C140" s="132" t="s">
        <v>188</v>
      </c>
      <c r="D140" s="132"/>
      <c r="E140" s="132"/>
      <c r="F140" s="132"/>
      <c r="G140" s="132"/>
    </row>
    <row r="141" customFormat="false" ht="15" hidden="false" customHeight="false" outlineLevel="0" collapsed="false">
      <c r="A141" s="134" t="s">
        <v>189</v>
      </c>
      <c r="B141" s="132"/>
      <c r="C141" s="132"/>
      <c r="D141" s="132"/>
      <c r="E141" s="132"/>
      <c r="F141" s="132"/>
      <c r="G141" s="132"/>
    </row>
    <row r="142" customFormat="false" ht="15" hidden="false" customHeight="false" outlineLevel="0" collapsed="false">
      <c r="A142" s="134" t="s">
        <v>190</v>
      </c>
      <c r="B142" s="132"/>
      <c r="C142" s="132"/>
      <c r="D142" s="132"/>
      <c r="E142" s="132"/>
      <c r="F142" s="132"/>
      <c r="G142" s="132"/>
    </row>
    <row r="143" customFormat="false" ht="15" hidden="false" customHeight="false" outlineLevel="0" collapsed="false">
      <c r="A143" s="131" t="s">
        <v>191</v>
      </c>
      <c r="B143" s="132"/>
      <c r="C143" s="132"/>
      <c r="D143" s="132"/>
      <c r="E143" s="132"/>
      <c r="F143" s="132"/>
      <c r="G143" s="132"/>
    </row>
    <row r="144" customFormat="false" ht="15" hidden="false" customHeight="false" outlineLevel="0" collapsed="false">
      <c r="A144" s="131" t="s">
        <v>192</v>
      </c>
      <c r="B144" s="132"/>
      <c r="C144" s="132"/>
      <c r="D144" s="132"/>
      <c r="E144" s="132"/>
      <c r="F144" s="132"/>
      <c r="G144" s="132"/>
    </row>
    <row r="145" customFormat="false" ht="15" hidden="false" customHeight="false" outlineLevel="0" collapsed="false">
      <c r="A145" s="10" t="s">
        <v>193</v>
      </c>
      <c r="B145" s="2"/>
      <c r="C145" s="2"/>
      <c r="D145" s="2"/>
      <c r="E145" s="2"/>
      <c r="F145" s="2"/>
      <c r="G145" s="2"/>
    </row>
    <row r="146" customFormat="false" ht="25.35" hidden="false" customHeight="true" outlineLevel="0" collapsed="false">
      <c r="A146" s="137" t="s">
        <v>194</v>
      </c>
      <c r="B146" s="137"/>
      <c r="C146" s="137"/>
      <c r="D146" s="137"/>
      <c r="E146" s="137"/>
      <c r="F146" s="137"/>
      <c r="G146" s="137"/>
    </row>
    <row r="147" customFormat="false" ht="15" hidden="false" customHeight="true" outlineLevel="0" collapsed="false">
      <c r="A147" s="126" t="s">
        <v>195</v>
      </c>
      <c r="B147" s="126"/>
      <c r="C147" s="126"/>
      <c r="D147" s="126"/>
      <c r="E147" s="126"/>
      <c r="F147" s="126"/>
      <c r="G147" s="126"/>
    </row>
    <row r="148" customFormat="false" ht="37.3" hidden="false" customHeight="true" outlineLevel="0" collapsed="false">
      <c r="A148" s="126" t="s">
        <v>196</v>
      </c>
      <c r="B148" s="126"/>
      <c r="C148" s="126"/>
      <c r="D148" s="126"/>
      <c r="E148" s="126"/>
      <c r="F148" s="126"/>
      <c r="G148" s="126"/>
    </row>
    <row r="149" customFormat="false" ht="15" hidden="false" customHeight="true" outlineLevel="0" collapsed="false">
      <c r="A149" s="126" t="s">
        <v>197</v>
      </c>
      <c r="B149" s="126"/>
      <c r="C149" s="126"/>
      <c r="D149" s="126"/>
      <c r="E149" s="126"/>
      <c r="F149" s="126"/>
      <c r="G149" s="126"/>
    </row>
    <row r="150" customFormat="false" ht="15" hidden="false" customHeight="true" outlineLevel="0" collapsed="false">
      <c r="A150" s="126" t="s">
        <v>198</v>
      </c>
      <c r="B150" s="126"/>
      <c r="C150" s="126"/>
      <c r="D150" s="126"/>
      <c r="E150" s="126"/>
      <c r="F150" s="126"/>
      <c r="G150" s="126"/>
    </row>
    <row r="151" customFormat="false" ht="15" hidden="false" customHeight="true" outlineLevel="0" collapsed="false">
      <c r="A151" s="126" t="s">
        <v>199</v>
      </c>
      <c r="B151" s="126"/>
      <c r="C151" s="126"/>
      <c r="D151" s="126"/>
      <c r="E151" s="126"/>
      <c r="F151" s="126"/>
      <c r="G151" s="126"/>
    </row>
    <row r="152" customFormat="false" ht="15" hidden="false" customHeight="false" outlineLevel="0" collapsed="false">
      <c r="A152" s="18" t="s">
        <v>200</v>
      </c>
      <c r="B152" s="2"/>
      <c r="C152" s="2"/>
      <c r="D152" s="2"/>
      <c r="E152" s="2"/>
      <c r="F152" s="2"/>
      <c r="G152" s="2"/>
    </row>
    <row r="153" customFormat="false" ht="15" hidden="false" customHeight="false" outlineLevel="0" collapsed="false">
      <c r="A153" s="18" t="s">
        <v>201</v>
      </c>
      <c r="B153" s="2"/>
      <c r="C153" s="2"/>
      <c r="D153" s="2"/>
      <c r="E153" s="2"/>
      <c r="F153" s="2"/>
      <c r="G153" s="2"/>
    </row>
    <row r="154" customFormat="false" ht="15" hidden="false" customHeight="true" outlineLevel="0" collapsed="false">
      <c r="A154" s="126" t="s">
        <v>202</v>
      </c>
      <c r="B154" s="126"/>
      <c r="C154" s="126"/>
      <c r="D154" s="126"/>
      <c r="E154" s="126"/>
      <c r="F154" s="126"/>
      <c r="G154" s="126"/>
    </row>
    <row r="155" customFormat="false" ht="15" hidden="false" customHeight="true" outlineLevel="0" collapsed="false">
      <c r="A155" s="126" t="s">
        <v>203</v>
      </c>
      <c r="B155" s="126"/>
      <c r="C155" s="126"/>
      <c r="D155" s="126"/>
      <c r="E155" s="126"/>
      <c r="F155" s="126"/>
      <c r="G155" s="126"/>
    </row>
    <row r="156" customFormat="false" ht="15" hidden="false" customHeight="true" outlineLevel="0" collapsed="false">
      <c r="A156" s="126" t="s">
        <v>204</v>
      </c>
      <c r="B156" s="126"/>
      <c r="C156" s="126"/>
      <c r="D156" s="126"/>
      <c r="E156" s="126"/>
      <c r="F156" s="126"/>
      <c r="G156" s="126"/>
    </row>
    <row r="157" customFormat="false" ht="15" hidden="false" customHeight="false" outlineLevel="0" collapsed="false">
      <c r="A157" s="84" t="s">
        <v>205</v>
      </c>
      <c r="B157" s="2"/>
      <c r="C157" s="2"/>
      <c r="D157" s="2"/>
      <c r="E157" s="2"/>
      <c r="F157" s="2"/>
      <c r="G157" s="2"/>
    </row>
    <row r="158" customFormat="false" ht="15" hidden="false" customHeight="false" outlineLevel="0" collapsed="false">
      <c r="A158" s="84" t="s">
        <v>206</v>
      </c>
      <c r="B158" s="2"/>
      <c r="C158" s="2"/>
      <c r="D158" s="2"/>
      <c r="E158" s="2"/>
      <c r="F158" s="2"/>
      <c r="G158" s="2"/>
    </row>
    <row r="159" customFormat="false" ht="15" hidden="false" customHeight="false" outlineLevel="0" collapsed="false">
      <c r="A159" s="84" t="s">
        <v>207</v>
      </c>
      <c r="B159" s="2"/>
      <c r="C159" s="2"/>
      <c r="D159" s="2"/>
      <c r="E159" s="2"/>
      <c r="F159" s="2"/>
      <c r="G159" s="2"/>
    </row>
    <row r="160" customFormat="false" ht="15" hidden="false" customHeight="true" outlineLevel="0" collapsed="false">
      <c r="A160" s="126" t="s">
        <v>208</v>
      </c>
      <c r="B160" s="126"/>
      <c r="C160" s="126"/>
      <c r="D160" s="126"/>
      <c r="E160" s="126"/>
      <c r="F160" s="126"/>
      <c r="G160" s="126"/>
    </row>
    <row r="161" customFormat="false" ht="25.35" hidden="false" customHeight="true" outlineLevel="0" collapsed="false">
      <c r="A161" s="126" t="s">
        <v>209</v>
      </c>
      <c r="B161" s="126"/>
      <c r="C161" s="126"/>
      <c r="D161" s="126"/>
      <c r="E161" s="126"/>
      <c r="F161" s="126"/>
      <c r="G161" s="126"/>
    </row>
    <row r="162" customFormat="false" ht="25.35" hidden="false" customHeight="true" outlineLevel="0" collapsed="false">
      <c r="A162" s="126" t="s">
        <v>210</v>
      </c>
      <c r="B162" s="126"/>
      <c r="C162" s="126"/>
      <c r="D162" s="126"/>
      <c r="E162" s="126"/>
      <c r="F162" s="126"/>
      <c r="G162" s="126"/>
    </row>
    <row r="163" customFormat="false" ht="15" hidden="false" customHeight="false" outlineLevel="0" collapsed="false">
      <c r="A163" s="18" t="s">
        <v>211</v>
      </c>
      <c r="B163" s="2"/>
      <c r="C163" s="2"/>
      <c r="D163" s="2"/>
      <c r="E163" s="2"/>
      <c r="F163" s="2"/>
      <c r="G163" s="2"/>
    </row>
    <row r="164" customFormat="false" ht="35.05" hidden="false" customHeight="true" outlineLevel="0" collapsed="false">
      <c r="A164" s="138" t="s">
        <v>212</v>
      </c>
      <c r="B164" s="138"/>
      <c r="C164" s="138"/>
      <c r="D164" s="138"/>
      <c r="E164" s="138"/>
      <c r="F164" s="138"/>
      <c r="G164" s="138"/>
    </row>
    <row r="165" customFormat="false" ht="23.85" hidden="false" customHeight="true" outlineLevel="0" collapsed="false">
      <c r="A165" s="138" t="s">
        <v>213</v>
      </c>
      <c r="B165" s="138"/>
      <c r="C165" s="138"/>
      <c r="D165" s="138"/>
      <c r="E165" s="138"/>
      <c r="F165" s="138"/>
      <c r="G165" s="138"/>
    </row>
    <row r="166" customFormat="false" ht="15" hidden="false" customHeight="true" outlineLevel="0" collapsed="false">
      <c r="A166" s="138" t="s">
        <v>214</v>
      </c>
      <c r="B166" s="138"/>
      <c r="C166" s="138"/>
      <c r="D166" s="138"/>
      <c r="E166" s="138"/>
      <c r="F166" s="138"/>
      <c r="G166" s="138"/>
    </row>
    <row r="167" customFormat="false" ht="15" hidden="false" customHeight="true" outlineLevel="0" collapsed="false">
      <c r="A167" s="138" t="s">
        <v>215</v>
      </c>
      <c r="B167" s="138"/>
      <c r="C167" s="138"/>
      <c r="D167" s="138"/>
      <c r="E167" s="138"/>
      <c r="F167" s="138"/>
      <c r="G167" s="138"/>
    </row>
    <row r="168" customFormat="false" ht="23.85" hidden="false" customHeight="true" outlineLevel="0" collapsed="false">
      <c r="A168" s="138" t="s">
        <v>216</v>
      </c>
      <c r="B168" s="138"/>
      <c r="C168" s="138"/>
      <c r="D168" s="138"/>
      <c r="E168" s="138"/>
      <c r="F168" s="138"/>
      <c r="G168" s="138"/>
    </row>
    <row r="169" customFormat="false" ht="23.85" hidden="false" customHeight="true" outlineLevel="0" collapsed="false">
      <c r="A169" s="138" t="s">
        <v>217</v>
      </c>
      <c r="B169" s="138"/>
      <c r="C169" s="138"/>
      <c r="D169" s="138"/>
      <c r="E169" s="138"/>
      <c r="F169" s="138"/>
      <c r="G169" s="138"/>
    </row>
    <row r="170" customFormat="false" ht="15" hidden="false" customHeight="true" outlineLevel="0" collapsed="false">
      <c r="A170" s="138" t="s">
        <v>218</v>
      </c>
      <c r="B170" s="138"/>
      <c r="C170" s="138"/>
      <c r="D170" s="138"/>
      <c r="E170" s="138"/>
      <c r="F170" s="138"/>
      <c r="G170" s="138"/>
    </row>
    <row r="171" customFormat="false" ht="35.05" hidden="false" customHeight="true" outlineLevel="0" collapsed="false">
      <c r="A171" s="139" t="s">
        <v>219</v>
      </c>
      <c r="B171" s="139"/>
      <c r="C171" s="139"/>
      <c r="D171" s="139"/>
      <c r="E171" s="139"/>
      <c r="F171" s="139"/>
      <c r="G171" s="139"/>
    </row>
    <row r="172" customFormat="false" ht="23.85" hidden="false" customHeight="true" outlineLevel="0" collapsed="false">
      <c r="A172" s="139" t="s">
        <v>220</v>
      </c>
      <c r="B172" s="139"/>
      <c r="C172" s="139"/>
      <c r="D172" s="139"/>
      <c r="E172" s="139"/>
      <c r="F172" s="139"/>
      <c r="G172" s="139"/>
    </row>
    <row r="173" customFormat="false" ht="15" hidden="false" customHeight="false" outlineLevel="0" collapsed="false">
      <c r="A173" s="44" t="s">
        <v>221</v>
      </c>
      <c r="B173" s="2"/>
      <c r="C173" s="2"/>
      <c r="D173" s="2"/>
      <c r="E173" s="2"/>
      <c r="F173" s="2"/>
      <c r="G173" s="2"/>
    </row>
    <row r="174" customFormat="false" ht="15" hidden="false" customHeight="false" outlineLevel="0" collapsed="false">
      <c r="A174" s="10" t="s">
        <v>222</v>
      </c>
      <c r="B174" s="2"/>
      <c r="C174" s="2"/>
      <c r="D174" s="2"/>
      <c r="E174" s="2"/>
      <c r="F174" s="2"/>
      <c r="G174" s="2"/>
    </row>
    <row r="175" customFormat="false" ht="15" hidden="false" customHeight="false" outlineLevel="0" collapsed="false">
      <c r="A175" s="8" t="s">
        <v>223</v>
      </c>
      <c r="B175" s="2"/>
      <c r="C175" s="2"/>
      <c r="D175" s="2"/>
      <c r="E175" s="2"/>
      <c r="F175" s="2"/>
      <c r="G175" s="2"/>
    </row>
    <row r="176" customFormat="false" ht="15" hidden="false" customHeight="false" outlineLevel="0" collapsed="false">
      <c r="A176" s="8" t="s">
        <v>224</v>
      </c>
      <c r="B176" s="2"/>
      <c r="C176" s="2"/>
      <c r="D176" s="2"/>
      <c r="E176" s="2"/>
      <c r="F176" s="2"/>
      <c r="G176" s="2"/>
    </row>
    <row r="177" customFormat="false" ht="25.35" hidden="false" customHeight="true" outlineLevel="0" collapsed="false">
      <c r="A177" s="140" t="s">
        <v>225</v>
      </c>
      <c r="B177" s="140"/>
      <c r="C177" s="140"/>
      <c r="D177" s="140"/>
      <c r="E177" s="140"/>
      <c r="F177" s="140"/>
      <c r="G177" s="140"/>
    </row>
    <row r="178" customFormat="false" ht="15" hidden="false" customHeight="false" outlineLevel="0" collapsed="false">
      <c r="A178" s="136" t="s">
        <v>226</v>
      </c>
      <c r="B178" s="141" t="s">
        <v>13</v>
      </c>
      <c r="C178" s="142"/>
      <c r="D178" s="132" t="s">
        <v>227</v>
      </c>
      <c r="E178" s="141" t="s">
        <v>228</v>
      </c>
      <c r="F178" s="132"/>
      <c r="G178" s="132"/>
    </row>
    <row r="179" customFormat="false" ht="17.35" hidden="false" customHeight="false" outlineLevel="0" collapsed="false">
      <c r="A179" s="136" t="s">
        <v>229</v>
      </c>
      <c r="B179" s="143"/>
      <c r="C179" s="132" t="s">
        <v>230</v>
      </c>
      <c r="D179" s="144"/>
      <c r="E179" s="132"/>
      <c r="F179" s="132"/>
      <c r="G179" s="132"/>
    </row>
    <row r="180" customFormat="false" ht="15" hidden="false" customHeight="false" outlineLevel="0" collapsed="false">
      <c r="A180" s="136" t="s">
        <v>231</v>
      </c>
      <c r="B180" s="145" t="s">
        <v>102</v>
      </c>
      <c r="C180" s="132"/>
      <c r="D180" s="132"/>
      <c r="E180" s="132"/>
      <c r="F180" s="132"/>
      <c r="G180" s="132"/>
    </row>
    <row r="181" customFormat="false" ht="15" hidden="false" customHeight="false" outlineLevel="0" collapsed="false">
      <c r="A181" s="136" t="s">
        <v>232</v>
      </c>
      <c r="B181" s="141" t="str">
        <f aca="false">C10</f>
        <v>服務人員(綁定好的服務人員)</v>
      </c>
      <c r="C181" s="142"/>
      <c r="D181" s="132" t="s">
        <v>233</v>
      </c>
      <c r="E181" s="132"/>
      <c r="F181" s="132"/>
      <c r="G181" s="132"/>
    </row>
    <row r="182" customFormat="false" ht="15" hidden="false" customHeight="false" outlineLevel="0" collapsed="false">
      <c r="A182" s="8" t="s">
        <v>234</v>
      </c>
      <c r="B182" s="2"/>
      <c r="C182" s="2"/>
      <c r="D182" s="2"/>
      <c r="E182" s="2"/>
      <c r="F182" s="2"/>
      <c r="G182" s="2"/>
    </row>
    <row r="183" customFormat="false" ht="15" hidden="false" customHeight="false" outlineLevel="0" collapsed="false">
      <c r="A183" s="8" t="s">
        <v>235</v>
      </c>
      <c r="B183" s="2"/>
      <c r="C183" s="2"/>
      <c r="D183" s="2"/>
      <c r="E183" s="2"/>
      <c r="F183" s="2"/>
      <c r="G183" s="2"/>
    </row>
    <row r="184" customFormat="false" ht="15" hidden="false" customHeight="false" outlineLevel="0" collapsed="false">
      <c r="A184" s="8" t="s">
        <v>236</v>
      </c>
      <c r="B184" s="2"/>
      <c r="C184" s="2"/>
      <c r="D184" s="2"/>
      <c r="E184" s="2"/>
      <c r="F184" s="2"/>
      <c r="G184" s="2"/>
    </row>
    <row r="185" customFormat="false" ht="15" hidden="false" customHeight="true" outlineLevel="0" collapsed="false">
      <c r="A185" s="8" t="s">
        <v>237</v>
      </c>
      <c r="B185" s="146" t="s">
        <v>10</v>
      </c>
      <c r="C185" s="146"/>
      <c r="D185" s="146"/>
      <c r="E185" s="146"/>
      <c r="F185" s="2"/>
      <c r="G185" s="2"/>
    </row>
  </sheetData>
  <mergeCells count="112">
    <mergeCell ref="F1:G1"/>
    <mergeCell ref="A2:G2"/>
    <mergeCell ref="B3:G3"/>
    <mergeCell ref="B4:G4"/>
    <mergeCell ref="A5:B5"/>
    <mergeCell ref="C10:D10"/>
    <mergeCell ref="A26:F26"/>
    <mergeCell ref="D27:G27"/>
    <mergeCell ref="E28:G28"/>
    <mergeCell ref="F31:G31"/>
    <mergeCell ref="A32:G32"/>
    <mergeCell ref="D38:G38"/>
    <mergeCell ref="C39:C40"/>
    <mergeCell ref="E39:G39"/>
    <mergeCell ref="E40:G40"/>
    <mergeCell ref="F41:G41"/>
    <mergeCell ref="B42:D42"/>
    <mergeCell ref="B43:D43"/>
    <mergeCell ref="A50:F50"/>
    <mergeCell ref="A51:F51"/>
    <mergeCell ref="C55:E55"/>
    <mergeCell ref="C56:E56"/>
    <mergeCell ref="C57:E57"/>
    <mergeCell ref="C58:E58"/>
    <mergeCell ref="C59:E59"/>
    <mergeCell ref="C61:E61"/>
    <mergeCell ref="C62:E62"/>
    <mergeCell ref="C63:E63"/>
    <mergeCell ref="C64:E64"/>
    <mergeCell ref="C65:E65"/>
    <mergeCell ref="A66:E66"/>
    <mergeCell ref="C68:E68"/>
    <mergeCell ref="C69:E69"/>
    <mergeCell ref="C70:E70"/>
    <mergeCell ref="C72:E72"/>
    <mergeCell ref="C73:E73"/>
    <mergeCell ref="C74:E74"/>
    <mergeCell ref="C75:E75"/>
    <mergeCell ref="C76:E76"/>
    <mergeCell ref="C77:E77"/>
    <mergeCell ref="C79:E79"/>
    <mergeCell ref="C80:E80"/>
    <mergeCell ref="C81:E81"/>
    <mergeCell ref="C82:E82"/>
    <mergeCell ref="C83:E83"/>
    <mergeCell ref="A87:F87"/>
    <mergeCell ref="A88:B88"/>
    <mergeCell ref="C88:D88"/>
    <mergeCell ref="A89:G89"/>
    <mergeCell ref="C90:G90"/>
    <mergeCell ref="C91:G91"/>
    <mergeCell ref="C92:G92"/>
    <mergeCell ref="C93:G93"/>
    <mergeCell ref="C94:G94"/>
    <mergeCell ref="B95:C95"/>
    <mergeCell ref="D95:E95"/>
    <mergeCell ref="C96:G96"/>
    <mergeCell ref="C97:G97"/>
    <mergeCell ref="B98:C98"/>
    <mergeCell ref="D98:E98"/>
    <mergeCell ref="C99:G99"/>
    <mergeCell ref="C100:G100"/>
    <mergeCell ref="C101:G101"/>
    <mergeCell ref="C102:G102"/>
    <mergeCell ref="C103:G103"/>
    <mergeCell ref="C104:G104"/>
    <mergeCell ref="A106:G106"/>
    <mergeCell ref="A107:G107"/>
    <mergeCell ref="A110:G110"/>
    <mergeCell ref="A113:D113"/>
    <mergeCell ref="A114:G114"/>
    <mergeCell ref="A115:G115"/>
    <mergeCell ref="A116:G116"/>
    <mergeCell ref="A117:G117"/>
    <mergeCell ref="A118:G118"/>
    <mergeCell ref="A119:G119"/>
    <mergeCell ref="A120:B120"/>
    <mergeCell ref="B121:G121"/>
    <mergeCell ref="B122:G122"/>
    <mergeCell ref="B123:G123"/>
    <mergeCell ref="B124:G124"/>
    <mergeCell ref="B125:G125"/>
    <mergeCell ref="B126:G126"/>
    <mergeCell ref="B127:G127"/>
    <mergeCell ref="A129:G129"/>
    <mergeCell ref="A130:G130"/>
    <mergeCell ref="A131:G131"/>
    <mergeCell ref="A135:G135"/>
    <mergeCell ref="A136:G136"/>
    <mergeCell ref="A146:G146"/>
    <mergeCell ref="A147:G147"/>
    <mergeCell ref="A148:G148"/>
    <mergeCell ref="A149:G149"/>
    <mergeCell ref="A150:G150"/>
    <mergeCell ref="A151:G151"/>
    <mergeCell ref="A154:G154"/>
    <mergeCell ref="A155:G155"/>
    <mergeCell ref="A156:G156"/>
    <mergeCell ref="A160:G160"/>
    <mergeCell ref="A161:G161"/>
    <mergeCell ref="A162:G162"/>
    <mergeCell ref="A164:G164"/>
    <mergeCell ref="A165:G165"/>
    <mergeCell ref="A166:G166"/>
    <mergeCell ref="A167:G167"/>
    <mergeCell ref="A168:G168"/>
    <mergeCell ref="A169:G169"/>
    <mergeCell ref="A170:G170"/>
    <mergeCell ref="A171:G171"/>
    <mergeCell ref="A172:G172"/>
    <mergeCell ref="A177:G177"/>
    <mergeCell ref="B185:E1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2026-07-05T04:14:18Z</dcterms:created>
  <dc:creator>openpyxl</dc:creator>
  <dc:description/>
  <dc:language>zh-TW</dc:language>
  <cp:lastModifiedBy/>
  <dcterms:modified xsi:type="dcterms:W3CDTF">2026-07-05T15:33:02Z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