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客戶契約" sheetId="1" state="visible" r:id="rId1"/>
  </sheets>
  <definedNames>
    <definedName name="_xlnm.Print_Area" localSheetId="0">'客戶契約'!$A$1:$G$185</definedName>
  </definedNames>
  <calcPr calcId="124519" fullCalcOnLoad="1" refMode="A1" iterate="0" iterateCount="100" iterateDelta="0.0001"/>
</workbook>
</file>

<file path=xl/styles.xml><?xml version="1.0" encoding="utf-8"?>
<styleSheet xmlns="http://schemas.openxmlformats.org/spreadsheetml/2006/main">
  <numFmts count="8">
    <numFmt numFmtId="164" formatCode="yyyy/m/d"/>
    <numFmt numFmtId="165" formatCode="[DBNum2][$-404]General"/>
    <numFmt numFmtId="166" formatCode="&quot;NT$&quot;#,##0;[RED]&quot;NT$&quot;#,##0"/>
    <numFmt numFmtId="167" formatCode="[$-404]e/m/d;@"/>
    <numFmt numFmtId="168" formatCode="_-* #,##0_-;\-* #,##0_-;_-* \-??_-;_-@_-"/>
    <numFmt numFmtId="169" formatCode="\$#,##0_);[RED]&quot;($&quot;#,##0\)"/>
    <numFmt numFmtId="170" formatCode="[$-404]General"/>
    <numFmt numFmtId="171" formatCode="[$-404]ggge\年m\月d\日;@"/>
  </numFmts>
  <fonts count="69">
    <font>
      <name val="Noto Sans TC"/>
      <charset val="136"/>
      <family val="2"/>
      <color theme="1"/>
      <sz val="11"/>
    </font>
    <font>
      <name val="Arial"/>
      <charset val="136"/>
      <family val="0"/>
      <sz val="10"/>
    </font>
    <font>
      <name val="Arial"/>
      <charset val="136"/>
      <family val="0"/>
      <sz val="10"/>
    </font>
    <font>
      <name val="Arial"/>
      <charset val="136"/>
      <family val="0"/>
      <sz val="10"/>
    </font>
    <font>
      <name val="標楷體"/>
      <charset val="1"/>
      <family val="0"/>
      <b val="1"/>
      <color rgb="FF000000"/>
      <sz val="16"/>
    </font>
    <font>
      <name val="標楷體"/>
      <charset val="1"/>
      <family val="0"/>
      <color theme="1"/>
      <sz val="12"/>
    </font>
    <font>
      <name val="標楷體"/>
      <charset val="1"/>
      <family val="0"/>
      <color rgb="FFFF0000"/>
      <sz val="12"/>
    </font>
    <font>
      <name val="標楷體"/>
      <charset val="1"/>
      <family val="0"/>
      <b val="1"/>
      <color rgb="FF000000"/>
      <sz val="12"/>
    </font>
    <font>
      <name val="標楷體"/>
      <charset val="1"/>
      <family val="0"/>
      <b val="1"/>
      <color theme="1"/>
      <sz val="12"/>
    </font>
    <font>
      <name val="標楷體"/>
      <charset val="1"/>
      <family val="0"/>
      <b val="1"/>
      <color theme="1"/>
      <sz val="16"/>
    </font>
    <font>
      <name val="標楷體"/>
      <charset val="1"/>
      <family val="0"/>
      <color rgb="FF000000"/>
      <sz val="12"/>
    </font>
    <font>
      <name val="標楷體"/>
      <charset val="1"/>
      <family val="0"/>
      <b val="1"/>
      <color rgb="FFFF0000"/>
      <sz val="12"/>
    </font>
    <font>
      <name val="標楷體"/>
      <charset val="1"/>
      <family val="0"/>
      <b val="1"/>
      <color theme="1"/>
      <sz val="9"/>
    </font>
    <font>
      <name val="標楷體"/>
      <charset val="1"/>
      <family val="0"/>
      <b val="1"/>
      <color theme="1"/>
      <sz val="10"/>
    </font>
    <font>
      <name val="標楷體"/>
      <charset val="1"/>
      <family val="0"/>
      <b val="1"/>
      <color rgb="FFFF0000"/>
      <sz val="11"/>
    </font>
    <font>
      <name val="標楷體"/>
      <charset val="1"/>
      <family val="0"/>
      <b val="1"/>
      <color rgb="FFC00000"/>
      <sz val="12"/>
    </font>
    <font>
      <name val="標楷體"/>
      <charset val="1"/>
      <family val="0"/>
      <b val="1"/>
      <color rgb="FFFF0000"/>
      <sz val="10"/>
    </font>
    <font>
      <name val="標楷體"/>
      <charset val="1"/>
      <family val="0"/>
      <b val="1"/>
      <sz val="12"/>
    </font>
    <font>
      <name val="新細明體"/>
      <charset val="1"/>
      <family val="0"/>
      <color theme="1"/>
      <sz val="11"/>
    </font>
    <font>
      <name val="標楷體"/>
      <charset val="1"/>
      <family val="0"/>
      <color rgb="FFC00000"/>
      <sz val="12"/>
    </font>
    <font>
      <name val="新細明體"/>
      <charset val="1"/>
      <family val="0"/>
      <b val="1"/>
      <sz val="12"/>
    </font>
    <font>
      <name val="標楷體"/>
      <charset val="1"/>
      <family val="0"/>
      <color theme="1"/>
      <sz val="11"/>
    </font>
    <font>
      <name val="標楷體"/>
      <charset val="1"/>
      <family val="0"/>
      <color rgb="FFFF0000"/>
      <sz val="11"/>
    </font>
    <font>
      <name val="標楷體"/>
      <charset val="1"/>
      <family val="0"/>
      <b val="1"/>
      <color theme="0"/>
      <sz val="12"/>
    </font>
    <font>
      <name val="標楷體"/>
      <charset val="1"/>
      <family val="0"/>
      <b val="1"/>
      <sz val="11"/>
    </font>
    <font>
      <name val="新細明體"/>
      <charset val="1"/>
      <family val="0"/>
      <color theme="1"/>
      <sz val="12"/>
    </font>
    <font>
      <name val="標楷體"/>
      <charset val="1"/>
      <family val="0"/>
      <b val="1"/>
      <sz val="10"/>
    </font>
    <font>
      <name val="標楷體"/>
      <charset val="1"/>
      <family val="0"/>
      <b val="1"/>
      <color theme="1"/>
      <sz val="14"/>
    </font>
    <font>
      <name val="標楷體"/>
      <charset val="1"/>
      <family val="0"/>
      <b val="1"/>
      <color rgb="FF0070C0"/>
      <sz val="12"/>
    </font>
    <font>
      <name val="新細明體"/>
      <charset val="1"/>
      <family val="0"/>
      <color theme="1"/>
      <sz val="10"/>
    </font>
    <font>
      <name val="標楷體"/>
      <charset val="1"/>
      <family val="0"/>
      <color theme="1"/>
      <sz val="16"/>
    </font>
    <font>
      <name val="標楷體"/>
      <charset val="1"/>
      <family val="0"/>
      <b val="1"/>
      <color rgb="FFFF0000"/>
      <sz val="14"/>
    </font>
    <font>
      <name val="標楷體"/>
      <charset val="1"/>
      <family val="0"/>
      <color rgb="FF0070C0"/>
      <sz val="12"/>
    </font>
    <font>
      <name val="新細明體"/>
      <charset val="1"/>
      <family val="0"/>
      <color rgb="FF000000"/>
      <sz val="12"/>
    </font>
    <font>
      <name val="新細明體"/>
      <charset val="1"/>
      <family val="0"/>
      <color rgb="FF000000"/>
      <sz val="10"/>
    </font>
    <font>
      <name val="標楷體"/>
      <charset val="1"/>
      <family val="0"/>
      <color rgb="FF000000"/>
      <sz val="11.5"/>
    </font>
    <font>
      <name val="標楷體"/>
      <charset val="1"/>
      <family val="0"/>
      <b val="1"/>
      <color rgb="FF000000"/>
      <sz val="11.5"/>
    </font>
    <font>
      <name val="標楷體"/>
      <charset val="1"/>
      <family val="0"/>
      <color theme="1"/>
      <sz val="14"/>
    </font>
    <font>
      <name val="Arial Unicode MS"/>
      <charset val="1"/>
      <family val="0"/>
      <b val="1"/>
      <color rgb="FF000000"/>
      <sz val="16"/>
    </font>
    <font>
      <name val="Arial Unicode MS"/>
      <charset val="1"/>
      <family val="0"/>
      <color rgb="FFFF0000"/>
      <sz val="12"/>
    </font>
    <font>
      <name val="Arial Unicode MS"/>
      <charset val="1"/>
      <family val="0"/>
      <b val="1"/>
      <color rgb="FF000000"/>
      <sz val="12"/>
    </font>
    <font>
      <name val="Arial Unicode MS"/>
      <charset val="1"/>
      <family val="0"/>
      <b val="1"/>
      <color theme="1"/>
      <sz val="12"/>
    </font>
    <font>
      <name val="Arial Unicode MS"/>
      <charset val="1"/>
      <family val="0"/>
      <b val="1"/>
      <color theme="1"/>
      <sz val="16"/>
    </font>
    <font>
      <name val="Arial Unicode MS"/>
      <charset val="1"/>
      <family val="0"/>
      <color theme="1"/>
      <sz val="12"/>
    </font>
    <font>
      <name val="Arial Unicode MS"/>
      <charset val="1"/>
      <family val="0"/>
      <color rgb="FF000000"/>
      <sz val="12"/>
    </font>
    <font>
      <name val="Arial Unicode MS"/>
      <charset val="1"/>
      <family val="0"/>
      <b val="1"/>
      <color rgb="FFFF0000"/>
      <sz val="12"/>
    </font>
    <font>
      <name val="Arial Unicode MS"/>
      <charset val="1"/>
      <family val="0"/>
      <b val="1"/>
      <color theme="1"/>
      <sz val="9"/>
    </font>
    <font>
      <name val="Arial Unicode MS"/>
      <charset val="1"/>
      <family val="0"/>
      <b val="1"/>
      <color theme="1"/>
      <sz val="10"/>
    </font>
    <font>
      <name val="Arial Unicode MS"/>
      <charset val="1"/>
      <family val="0"/>
      <b val="1"/>
      <color rgb="FFFF0000"/>
      <sz val="10"/>
    </font>
    <font>
      <name val="Arial Unicode MS"/>
      <charset val="1"/>
      <family val="0"/>
      <b val="1"/>
      <sz val="12"/>
    </font>
    <font>
      <name val="Arial Unicode MS"/>
      <charset val="1"/>
      <family val="0"/>
      <color theme="1"/>
      <sz val="11"/>
    </font>
    <font>
      <name val="Arial Unicode MS"/>
      <charset val="1"/>
      <family val="0"/>
      <color rgb="FFC00000"/>
      <sz val="12"/>
    </font>
    <font>
      <name val="Arial Unicode MS"/>
      <charset val="1"/>
      <family val="0"/>
      <color rgb="FFFF0000"/>
      <sz val="11"/>
    </font>
    <font>
      <name val="Arial Unicode MS"/>
      <charset val="1"/>
      <family val="0"/>
      <b val="1"/>
      <color theme="0"/>
      <sz val="12"/>
    </font>
    <font>
      <name val="Arial Unicode MS"/>
      <charset val="1"/>
      <family val="0"/>
      <b val="1"/>
      <color rgb="FFC00000"/>
      <sz val="12"/>
    </font>
    <font>
      <name val="Arial Unicode MS"/>
      <charset val="1"/>
      <family val="0"/>
      <b val="1"/>
      <sz val="11"/>
    </font>
    <font>
      <name val="Arial Unicode MS"/>
      <charset val="1"/>
      <family val="0"/>
      <b val="1"/>
      <sz val="10"/>
    </font>
    <font>
      <name val="Arial Unicode MS"/>
      <charset val="1"/>
      <family val="0"/>
      <b val="1"/>
      <color theme="1"/>
      <sz val="14"/>
    </font>
    <font>
      <name val="Arial Unicode MS"/>
      <charset val="1"/>
      <family val="0"/>
      <b val="1"/>
      <color rgb="FFFF0000"/>
      <sz val="11"/>
    </font>
    <font>
      <name val="Arial Unicode MS"/>
      <charset val="1"/>
      <family val="0"/>
      <b val="1"/>
      <color rgb="FF0070C0"/>
      <sz val="12"/>
    </font>
    <font>
      <name val="Arial Unicode MS"/>
      <charset val="1"/>
      <family val="0"/>
      <color theme="1"/>
      <sz val="10"/>
    </font>
    <font>
      <name val="Arial Unicode MS"/>
      <charset val="1"/>
      <family val="0"/>
      <color theme="1"/>
      <sz val="16"/>
    </font>
    <font>
      <name val="Arial Unicode MS"/>
      <charset val="1"/>
      <family val="0"/>
      <b val="1"/>
      <color rgb="FFFF0000"/>
      <sz val="14"/>
    </font>
    <font>
      <name val="Arial Unicode MS"/>
      <charset val="1"/>
      <family val="0"/>
      <color rgb="FF0070C0"/>
      <sz val="12"/>
    </font>
    <font>
      <name val="Arial Unicode MS"/>
      <charset val="1"/>
      <family val="0"/>
      <color rgb="FF000000"/>
      <sz val="10"/>
    </font>
    <font>
      <name val="Arial Unicode MS"/>
      <charset val="1"/>
      <family val="0"/>
      <color rgb="FF000000"/>
      <sz val="11.5"/>
    </font>
    <font>
      <name val="Arial Unicode MS"/>
      <charset val="1"/>
      <family val="0"/>
      <b val="1"/>
      <color rgb="FF000000"/>
      <sz val="11.5"/>
    </font>
    <font>
      <name val="標楷體"/>
      <b val="1"/>
      <color theme="1"/>
      <sz val="14"/>
    </font>
    <font>
      <name val="標楷體"/>
      <charset val="1"/>
      <family val="0"/>
      <b val="1"/>
      <color theme="1"/>
      <sz val="14"/>
    </font>
  </fonts>
  <fills count="13">
    <fill>
      <patternFill/>
    </fill>
    <fill>
      <patternFill patternType="gray125"/>
    </fill>
    <fill>
      <patternFill patternType="solid">
        <fgColor rgb="FFFFFF00"/>
        <bgColor rgb="FFFFFF00"/>
      </patternFill>
    </fill>
    <fill>
      <patternFill patternType="solid">
        <fgColor rgb="FFFCDCE9"/>
        <bgColor rgb="FFFAF2D8"/>
      </patternFill>
    </fill>
    <fill>
      <patternFill patternType="solid">
        <fgColor rgb="FFCCFFFF"/>
        <bgColor rgb="FFF2F2F2"/>
      </patternFill>
    </fill>
    <fill>
      <patternFill patternType="solid">
        <fgColor rgb="FF92D050"/>
        <bgColor rgb="FFC0C0C0"/>
      </patternFill>
    </fill>
    <fill>
      <patternFill patternType="solid">
        <fgColor rgb="FFFFFFCC"/>
        <bgColor rgb="FFFAF2D8"/>
      </patternFill>
    </fill>
    <fill>
      <patternFill patternType="solid">
        <fgColor theme="0"/>
        <bgColor rgb="FFFCFBF9"/>
      </patternFill>
    </fill>
    <fill>
      <patternFill patternType="solid">
        <fgColor rgb="FFFFC000"/>
        <bgColor rgb="FFFF9900"/>
      </patternFill>
    </fill>
    <fill>
      <patternFill patternType="solid">
        <fgColor theme="8" tint="0.5999"/>
        <bgColor rgb="FF99CCFF"/>
      </patternFill>
    </fill>
    <fill>
      <patternFill patternType="solid">
        <fgColor theme="0" tint="-0.05"/>
        <bgColor rgb="FFFCFBF9"/>
      </patternFill>
    </fill>
    <fill>
      <patternFill patternType="solid">
        <fgColor theme="2" tint="0.7999000000000001"/>
        <bgColor rgb="FFFFFFFF"/>
      </patternFill>
    </fill>
    <fill>
      <patternFill patternType="solid">
        <fgColor rgb="FFFAF2D8"/>
        <bgColor rgb="FFF2F2F2"/>
      </patternFill>
    </fill>
  </fills>
  <borders count="17">
    <border>
      <left/>
      <right/>
      <top/>
      <bottom/>
      <diagonal/>
    </border>
    <border>
      <left style="thin"/>
      <right style="thin"/>
      <top style="thin"/>
      <bottom style="thin"/>
      <diagonal/>
    </border>
    <border>
      <left style="thin"/>
      <right/>
      <top/>
      <bottom/>
      <diagonal/>
    </border>
    <border>
      <left style="thin"/>
      <right/>
      <top style="thin"/>
      <bottom style="thin"/>
      <diagonal/>
    </border>
    <border>
      <left/>
      <right style="medium"/>
      <top/>
      <bottom style="medium"/>
      <diagonal/>
    </border>
    <border>
      <left/>
      <right style="thin"/>
      <top style="thin"/>
      <bottom style="thin"/>
      <diagonal/>
    </border>
    <border>
      <left/>
      <right/>
      <top style="thin"/>
      <bottom/>
      <diagonal/>
    </border>
    <border>
      <left/>
      <right/>
      <top/>
      <bottom style="thin"/>
      <diagonal/>
    </border>
    <border>
      <left/>
      <right/>
      <top/>
      <bottom style="double"/>
      <diagonal/>
    </border>
    <border>
      <left/>
      <right style="thin"/>
      <top/>
      <bottom/>
      <diagonal/>
    </border>
    <border>
      <left/>
      <right style="thin"/>
      <top/>
      <bottom style="thin"/>
      <diagonal/>
    </border>
    <border>
      <left/>
      <right style="thin"/>
      <top style="thin"/>
      <bottom/>
      <diagonal/>
    </border>
    <border>
      <left/>
      <right/>
      <top style="thin"/>
      <bottom style="thin"/>
      <diagonal/>
    </border>
    <border/>
    <border>
      <bottom style="double">
        <color rgb="00000000"/>
      </bottom>
    </border>
    <border>
      <right/>
      <bottom style="double">
        <color rgb="00000000"/>
      </bottom>
    </border>
    <border>
      <left/>
      <right/>
      <top/>
      <bottom style="double">
        <color rgb="0000000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7">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2" borderId="0" applyAlignment="1" pivotButton="0" quotePrefix="0" xfId="0">
      <alignment horizontal="center" vertical="center"/>
    </xf>
    <xf numFmtId="0" fontId="7" fillId="0" borderId="0" applyAlignment="1" pivotButton="0" quotePrefix="0" xfId="0">
      <alignment horizontal="right" vertical="center"/>
    </xf>
    <xf numFmtId="0" fontId="8" fillId="0" borderId="0" applyAlignment="1" pivotButton="0" quotePrefix="0" xfId="0">
      <alignment horizontal="general" vertical="center" wrapText="1"/>
    </xf>
    <xf numFmtId="0" fontId="8" fillId="0" borderId="0" applyAlignment="1" pivotButton="0" quotePrefix="0" xfId="0">
      <alignment horizontal="left" vertical="center" wrapText="1"/>
    </xf>
    <xf numFmtId="0" fontId="7" fillId="0" borderId="0" applyAlignment="1" pivotButton="0" quotePrefix="0" xfId="0">
      <alignment horizontal="left" vertical="center"/>
    </xf>
    <xf numFmtId="0" fontId="8" fillId="0" borderId="0" applyAlignment="1" pivotButton="0" quotePrefix="0" xfId="0">
      <alignment horizontal="general" vertical="center"/>
    </xf>
    <xf numFmtId="164" fontId="9" fillId="2" borderId="0" applyAlignment="1" pivotButton="0" quotePrefix="0" xfId="0">
      <alignment horizontal="left" vertical="center"/>
    </xf>
    <xf numFmtId="0" fontId="7" fillId="0" borderId="0" applyAlignment="1" pivotButton="0" quotePrefix="0" xfId="0">
      <alignment horizontal="general" vertical="center"/>
    </xf>
    <xf numFmtId="0" fontId="8" fillId="2" borderId="0" applyAlignment="1" pivotButton="0" quotePrefix="0" xfId="0">
      <alignment horizontal="center" vertical="center"/>
    </xf>
    <xf numFmtId="0" fontId="9" fillId="3" borderId="0" applyAlignment="1" pivotButton="0" quotePrefix="0" xfId="0">
      <alignment horizontal="general" vertical="center"/>
    </xf>
    <xf numFmtId="164" fontId="7" fillId="2" borderId="0" applyAlignment="1" pivotButton="0" quotePrefix="0" xfId="0">
      <alignment horizontal="center" vertical="center"/>
    </xf>
    <xf numFmtId="0" fontId="10" fillId="4" borderId="0" applyAlignment="1" pivotButton="0" quotePrefix="0" xfId="0">
      <alignment horizontal="general" vertical="center"/>
    </xf>
    <xf numFmtId="0" fontId="5" fillId="4" borderId="0" applyAlignment="1" pivotButton="0" quotePrefix="0" xfId="0">
      <alignment horizontal="general" vertical="center"/>
    </xf>
    <xf numFmtId="165" fontId="9" fillId="2" borderId="0" applyAlignment="1" pivotButton="0" quotePrefix="0" xfId="0">
      <alignment horizontal="left" vertical="center"/>
    </xf>
    <xf numFmtId="0" fontId="5" fillId="4" borderId="0" applyAlignment="1" pivotButton="0" quotePrefix="0" xfId="0">
      <alignment horizontal="general" vertical="top"/>
    </xf>
    <xf numFmtId="0" fontId="10" fillId="0" borderId="0" applyAlignment="1" pivotButton="0" quotePrefix="0" xfId="0">
      <alignment horizontal="general" vertical="center"/>
    </xf>
    <xf numFmtId="0" fontId="8" fillId="0" borderId="0" applyAlignment="1" pivotButton="0" quotePrefix="0" xfId="0">
      <alignment horizontal="center" vertical="center"/>
    </xf>
    <xf numFmtId="0" fontId="5" fillId="0" borderId="0" applyAlignment="1" pivotButton="0" quotePrefix="0" xfId="0">
      <alignment horizontal="center" vertical="top"/>
    </xf>
    <xf numFmtId="0" fontId="7" fillId="3" borderId="0" applyAlignment="1" pivotButton="0" quotePrefix="0" xfId="0">
      <alignment horizontal="general" vertical="center"/>
    </xf>
    <xf numFmtId="164" fontId="8" fillId="2" borderId="1" applyAlignment="1" pivotButton="0" quotePrefix="0" xfId="0">
      <alignment horizontal="center" vertical="center"/>
    </xf>
    <xf numFmtId="0" fontId="5" fillId="3" borderId="0" applyAlignment="1" pivotButton="0" quotePrefix="0" xfId="0">
      <alignment horizontal="center" vertical="center"/>
    </xf>
    <xf numFmtId="0" fontId="5" fillId="3" borderId="0" applyAlignment="1" pivotButton="0" quotePrefix="0" xfId="0">
      <alignment horizontal="right" vertical="center"/>
    </xf>
    <xf numFmtId="0" fontId="5" fillId="2" borderId="1" applyAlignment="1" pivotButton="0" quotePrefix="0" xfId="0">
      <alignment horizontal="left" vertical="center"/>
    </xf>
    <xf numFmtId="166" fontId="8" fillId="2" borderId="0" applyAlignment="1" pivotButton="0" quotePrefix="0" xfId="0">
      <alignment horizontal="right" vertical="center"/>
    </xf>
    <xf numFmtId="166" fontId="5" fillId="5" borderId="0" applyAlignment="1" pivotButton="0" quotePrefix="0" xfId="0">
      <alignment horizontal="center" vertical="center"/>
    </xf>
    <xf numFmtId="0" fontId="5" fillId="2" borderId="0" applyAlignment="1" pivotButton="0" quotePrefix="0" xfId="0">
      <alignment horizontal="left" vertical="center"/>
    </xf>
    <xf numFmtId="0" fontId="7" fillId="0" borderId="0" applyAlignment="1" pivotButton="0" quotePrefix="0" xfId="0">
      <alignment horizontal="left" vertical="center" wrapText="1"/>
    </xf>
    <xf numFmtId="0" fontId="11" fillId="4" borderId="1" applyAlignment="1" pivotButton="0" quotePrefix="0" xfId="0">
      <alignment horizontal="center" vertical="center"/>
    </xf>
    <xf numFmtId="0" fontId="12" fillId="4" borderId="2" applyAlignment="1" pivotButton="0" quotePrefix="0" xfId="0">
      <alignment horizontal="left" vertical="center" wrapText="1"/>
    </xf>
    <xf numFmtId="0" fontId="8" fillId="2" borderId="1" applyAlignment="1" pivotButton="0" quotePrefix="0" xfId="0">
      <alignment horizontal="center" vertical="center"/>
    </xf>
    <xf numFmtId="167" fontId="11" fillId="4" borderId="1" applyAlignment="1" pivotButton="0" quotePrefix="0" xfId="0">
      <alignment horizontal="center" vertical="center"/>
    </xf>
    <xf numFmtId="0" fontId="13" fillId="4" borderId="2" applyAlignment="1" pivotButton="0" quotePrefix="0" xfId="0">
      <alignment horizontal="general" vertical="center"/>
    </xf>
    <xf numFmtId="0" fontId="13" fillId="2" borderId="0" applyAlignment="1" pivotButton="0" quotePrefix="0" xfId="0">
      <alignment horizontal="center" vertical="center"/>
    </xf>
    <xf numFmtId="0" fontId="7" fillId="6" borderId="0" applyAlignment="1" pivotButton="0" quotePrefix="0" xfId="0">
      <alignment horizontal="left" vertical="center"/>
    </xf>
    <xf numFmtId="168" fontId="8" fillId="6" borderId="0" applyAlignment="1" pivotButton="0" quotePrefix="0" xfId="0">
      <alignment horizontal="right" vertical="center"/>
    </xf>
    <xf numFmtId="166" fontId="8" fillId="2" borderId="0" applyAlignment="1" pivotButton="0" quotePrefix="0" xfId="0">
      <alignment horizontal="left" vertical="center"/>
    </xf>
    <xf numFmtId="0" fontId="14" fillId="6" borderId="0" applyAlignment="1" pivotButton="0" quotePrefix="0" xfId="0">
      <alignment horizontal="left" vertical="center"/>
    </xf>
    <xf numFmtId="0" fontId="8" fillId="6" borderId="0" applyAlignment="1" pivotButton="0" quotePrefix="0" xfId="0">
      <alignment horizontal="general" vertical="center"/>
    </xf>
    <xf numFmtId="0" fontId="8" fillId="2" borderId="0" applyAlignment="1" pivotButton="0" quotePrefix="0" xfId="0">
      <alignment horizontal="left" vertical="center"/>
    </xf>
    <xf numFmtId="0" fontId="5" fillId="4" borderId="0" applyAlignment="1" pivotButton="0" quotePrefix="0" xfId="0">
      <alignment horizontal="right" vertical="center"/>
    </xf>
    <xf numFmtId="166" fontId="8" fillId="2" borderId="0" applyAlignment="1" pivotButton="0" quotePrefix="0" xfId="0">
      <alignment horizontal="general" vertical="center"/>
    </xf>
    <xf numFmtId="0" fontId="11" fillId="0" borderId="0" applyAlignment="1" pivotButton="0" quotePrefix="0" xfId="0">
      <alignment horizontal="general" vertical="center"/>
    </xf>
    <xf numFmtId="0" fontId="6" fillId="0" borderId="0" applyAlignment="1" pivotButton="0" quotePrefix="0" xfId="0">
      <alignment horizontal="general" vertical="center"/>
    </xf>
    <xf numFmtId="0" fontId="15" fillId="7" borderId="0" applyAlignment="1" pivotButton="0" quotePrefix="0" xfId="0">
      <alignment horizontal="general" vertical="center" wrapText="1"/>
    </xf>
    <xf numFmtId="0" fontId="5" fillId="0" borderId="0" applyAlignment="1" pivotButton="0" quotePrefix="0" xfId="0">
      <alignment horizontal="right" vertical="center"/>
    </xf>
    <xf numFmtId="0" fontId="16" fillId="2" borderId="0" applyAlignment="1" pivotButton="0" quotePrefix="0" xfId="0">
      <alignment horizontal="left" vertical="center" wrapText="1"/>
    </xf>
    <xf numFmtId="0" fontId="5" fillId="6" borderId="1" applyAlignment="1" pivotButton="0" quotePrefix="0" xfId="0">
      <alignment horizontal="center" vertical="center"/>
    </xf>
    <xf numFmtId="0" fontId="5" fillId="6" borderId="3" applyAlignment="1" pivotButton="0" quotePrefix="0" xfId="0">
      <alignment horizontal="center" vertical="center"/>
    </xf>
    <xf numFmtId="0" fontId="17" fillId="8" borderId="0" applyAlignment="1" pivotButton="0" quotePrefix="0" xfId="0">
      <alignment horizontal="general" vertical="center"/>
    </xf>
    <xf numFmtId="0" fontId="18" fillId="2" borderId="0" applyAlignment="1" pivotButton="0" quotePrefix="0" xfId="0">
      <alignment horizontal="general" vertical="bottom"/>
    </xf>
    <xf numFmtId="0" fontId="5" fillId="8" borderId="0" applyAlignment="1" pivotButton="0" quotePrefix="0" xfId="0">
      <alignment horizontal="general" vertical="center"/>
    </xf>
    <xf numFmtId="0" fontId="7" fillId="6" borderId="1" applyAlignment="1" pivotButton="0" quotePrefix="0" xfId="0">
      <alignment horizontal="center" vertical="center"/>
    </xf>
    <xf numFmtId="168" fontId="8" fillId="2" borderId="1" applyAlignment="1" pivotButton="0" quotePrefix="0" xfId="0">
      <alignment horizontal="right" vertical="center"/>
    </xf>
    <xf numFmtId="167" fontId="8" fillId="2" borderId="1" applyAlignment="1" pivotButton="0" quotePrefix="0" xfId="0">
      <alignment horizontal="right" vertical="center"/>
    </xf>
    <xf numFmtId="0" fontId="19" fillId="8" borderId="0" applyAlignment="1" pivotButton="0" quotePrefix="0" xfId="0">
      <alignment horizontal="left" vertical="center"/>
    </xf>
    <xf numFmtId="168" fontId="17" fillId="2" borderId="4" applyAlignment="1" pivotButton="0" quotePrefix="0" xfId="0">
      <alignment horizontal="left" vertical="center"/>
    </xf>
    <xf numFmtId="0" fontId="19" fillId="8" borderId="0" applyAlignment="1" pivotButton="0" quotePrefix="0" xfId="0">
      <alignment horizontal="general" vertical="center"/>
    </xf>
    <xf numFmtId="0" fontId="19" fillId="6" borderId="0" applyAlignment="1" pivotButton="0" quotePrefix="0" xfId="0">
      <alignment horizontal="left" vertical="center"/>
    </xf>
    <xf numFmtId="0" fontId="19" fillId="6" borderId="0" applyAlignment="1" pivotButton="0" quotePrefix="0" xfId="0">
      <alignment horizontal="general" vertical="center"/>
    </xf>
    <xf numFmtId="0" fontId="19" fillId="2" borderId="0" applyAlignment="1" pivotButton="0" quotePrefix="0" xfId="0">
      <alignment horizontal="left" vertical="center"/>
    </xf>
    <xf numFmtId="0" fontId="20" fillId="6" borderId="1" applyAlignment="1" pivotButton="0" quotePrefix="0" xfId="0">
      <alignment horizontal="center" vertical="center" wrapText="1"/>
    </xf>
    <xf numFmtId="168" fontId="17" fillId="2" borderId="1" applyAlignment="1" pivotButton="0" quotePrefix="0" xfId="0">
      <alignment horizontal="right" vertical="center"/>
    </xf>
    <xf numFmtId="0" fontId="21" fillId="6" borderId="0" applyAlignment="1" pivotButton="0" quotePrefix="0" xfId="0">
      <alignment horizontal="general" vertical="center" wrapText="1"/>
    </xf>
    <xf numFmtId="0" fontId="17" fillId="9" borderId="1" applyAlignment="1" pivotButton="0" quotePrefix="0" xfId="0">
      <alignment horizontal="center" vertical="center"/>
    </xf>
    <xf numFmtId="168" fontId="17" fillId="2" borderId="1" applyAlignment="1" pivotButton="0" quotePrefix="0" xfId="0">
      <alignment horizontal="center" vertical="center"/>
    </xf>
    <xf numFmtId="164" fontId="22" fillId="9" borderId="1" applyAlignment="1" pivotButton="0" quotePrefix="0" xfId="0">
      <alignment horizontal="left" vertical="top" wrapText="1"/>
    </xf>
    <xf numFmtId="0" fontId="21" fillId="6" borderId="2" applyAlignment="1" pivotButton="0" quotePrefix="0" xfId="0">
      <alignment horizontal="left" vertical="center" wrapText="1"/>
    </xf>
    <xf numFmtId="0" fontId="23" fillId="7" borderId="1" applyAlignment="1" pivotButton="0" quotePrefix="0" xfId="0">
      <alignment horizontal="center" vertical="center"/>
    </xf>
    <xf numFmtId="0" fontId="15" fillId="7" borderId="5" applyAlignment="1" pivotButton="0" quotePrefix="0" xfId="0">
      <alignment horizontal="left" vertical="top" wrapText="1"/>
    </xf>
    <xf numFmtId="0" fontId="8" fillId="4" borderId="2" applyAlignment="1" pivotButton="0" quotePrefix="0" xfId="0">
      <alignment horizontal="general" vertical="center"/>
    </xf>
    <xf numFmtId="169" fontId="8" fillId="2" borderId="1" applyAlignment="1" pivotButton="0" quotePrefix="0" xfId="0">
      <alignment horizontal="right" vertical="center"/>
    </xf>
    <xf numFmtId="0" fontId="11" fillId="2" borderId="2" applyAlignment="1" pivotButton="0" quotePrefix="0" xfId="0">
      <alignment horizontal="center" vertical="center"/>
    </xf>
    <xf numFmtId="0" fontId="11" fillId="2" borderId="0" applyAlignment="1" pivotButton="0" quotePrefix="0" xfId="0">
      <alignment horizontal="left" vertical="center"/>
    </xf>
    <xf numFmtId="0" fontId="15" fillId="3" borderId="0" applyAlignment="1" pivotButton="0" quotePrefix="0" xfId="0">
      <alignment horizontal="center" vertical="center"/>
    </xf>
    <xf numFmtId="168" fontId="24" fillId="2" borderId="0" applyAlignment="1" pivotButton="0" quotePrefix="0" xfId="0">
      <alignment horizontal="left" vertical="center"/>
    </xf>
    <xf numFmtId="168" fontId="17" fillId="2" borderId="0" applyAlignment="1" pivotButton="0" quotePrefix="0" xfId="0">
      <alignment horizontal="left" vertical="center"/>
    </xf>
    <xf numFmtId="0" fontId="25" fillId="2" borderId="0" applyAlignment="1" pivotButton="0" quotePrefix="0" xfId="0">
      <alignment horizontal="general" vertical="center"/>
    </xf>
    <xf numFmtId="168" fontId="26" fillId="2" borderId="0" applyAlignment="1" pivotButton="0" quotePrefix="0" xfId="0">
      <alignment horizontal="center" vertical="center" wrapText="1"/>
    </xf>
    <xf numFmtId="0" fontId="27" fillId="0" borderId="0" applyAlignment="1" pivotButton="0" quotePrefix="0" xfId="0">
      <alignment horizontal="left" vertical="center"/>
    </xf>
    <xf numFmtId="0" fontId="10" fillId="7" borderId="0" applyAlignment="1" pivotButton="0" quotePrefix="0" xfId="0">
      <alignment horizontal="general" vertical="center"/>
    </xf>
    <xf numFmtId="0" fontId="27" fillId="2" borderId="0" applyAlignment="1" pivotButton="0" quotePrefix="0" xfId="0">
      <alignment horizontal="left" vertical="center"/>
    </xf>
    <xf numFmtId="0" fontId="10" fillId="0" borderId="0" applyAlignment="1" pivotButton="0" quotePrefix="0" xfId="0">
      <alignment horizontal="left" vertical="center"/>
    </xf>
    <xf numFmtId="0" fontId="14" fillId="2" borderId="0" applyAlignment="1" pivotButton="0" quotePrefix="0" xfId="0">
      <alignment horizontal="left" vertical="center"/>
    </xf>
    <xf numFmtId="0" fontId="21" fillId="0" borderId="0" applyAlignment="1" pivotButton="0" quotePrefix="0" xfId="0">
      <alignment horizontal="general" vertical="center"/>
    </xf>
    <xf numFmtId="0" fontId="11" fillId="0" borderId="0" applyAlignment="1" pivotButton="0" quotePrefix="0" xfId="0">
      <alignment horizontal="left" vertical="center"/>
    </xf>
    <xf numFmtId="0" fontId="28" fillId="0" borderId="0" applyAlignment="1" pivotButton="0" quotePrefix="0" xfId="0">
      <alignment horizontal="left" vertical="center"/>
    </xf>
    <xf numFmtId="0" fontId="14" fillId="0" borderId="0" applyAlignment="1" pivotButton="0" quotePrefix="0" xfId="0">
      <alignment horizontal="left" vertical="center" wrapText="1"/>
    </xf>
    <xf numFmtId="0" fontId="7" fillId="10" borderId="0" applyAlignment="1" pivotButton="0" quotePrefix="0" xfId="0">
      <alignment horizontal="left" vertical="center"/>
    </xf>
    <xf numFmtId="0" fontId="5" fillId="10" borderId="0" applyAlignment="1" pivotButton="0" quotePrefix="0" xfId="0">
      <alignment horizontal="general" vertical="center"/>
    </xf>
    <xf numFmtId="0" fontId="5" fillId="0" borderId="1" applyAlignment="1" pivotButton="0" quotePrefix="0" xfId="0">
      <alignment horizontal="center" vertical="center"/>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25" fillId="0" borderId="1" applyAlignment="1" pivotButton="0" quotePrefix="0" xfId="0">
      <alignment horizontal="center" vertical="center"/>
    </xf>
    <xf numFmtId="0" fontId="5" fillId="0" borderId="1" applyAlignment="1" pivotButton="0" quotePrefix="0" xfId="0">
      <alignment horizontal="general" vertical="center" wrapText="1"/>
    </xf>
    <xf numFmtId="0" fontId="5" fillId="0" borderId="1" applyAlignment="1" pivotButton="0" quotePrefix="0" xfId="0">
      <alignment horizontal="left" vertical="center" wrapText="1"/>
    </xf>
    <xf numFmtId="0" fontId="8" fillId="0" borderId="6" applyAlignment="1" pivotButton="0" quotePrefix="0" xfId="0">
      <alignment horizontal="center" vertical="center" wrapText="1"/>
    </xf>
    <xf numFmtId="0" fontId="8" fillId="11" borderId="1" applyAlignment="1" pivotButton="0" quotePrefix="0" xfId="0">
      <alignment horizontal="center" vertical="center" wrapText="1"/>
    </xf>
    <xf numFmtId="170" fontId="29" fillId="0" borderId="1" applyAlignment="1" pivotButton="0" quotePrefix="0" xfId="0">
      <alignment horizontal="center" vertical="center"/>
    </xf>
    <xf numFmtId="0" fontId="5" fillId="0" borderId="0" applyAlignment="1" pivotButton="0" quotePrefix="0" xfId="0">
      <alignment horizontal="general" vertical="center" wrapText="1"/>
    </xf>
    <xf numFmtId="0" fontId="5" fillId="0" borderId="0" applyAlignment="1" pivotButton="0" quotePrefix="0" xfId="0">
      <alignment horizontal="center" vertical="center" wrapText="1"/>
    </xf>
    <xf numFmtId="0" fontId="8" fillId="11" borderId="1" applyAlignment="1" pivotButton="0" quotePrefix="0" xfId="0">
      <alignment horizontal="left" vertical="center" wrapText="1"/>
    </xf>
    <xf numFmtId="170" fontId="29" fillId="0" borderId="6" applyAlignment="1" pivotButton="0" quotePrefix="0" xfId="0">
      <alignment horizontal="center" vertical="center"/>
    </xf>
    <xf numFmtId="0" fontId="5" fillId="0" borderId="6" applyAlignment="1" pivotButton="0" quotePrefix="0" xfId="0">
      <alignment horizontal="general" vertical="center" wrapText="1"/>
    </xf>
    <xf numFmtId="0" fontId="5" fillId="0" borderId="6" applyAlignment="1" pivotButton="0" quotePrefix="0" xfId="0">
      <alignment horizontal="left" vertical="center" wrapText="1"/>
    </xf>
    <xf numFmtId="0" fontId="30" fillId="0" borderId="0" applyAlignment="1" pivotButton="0" quotePrefix="0" xfId="0">
      <alignment horizontal="general" vertical="center"/>
    </xf>
    <xf numFmtId="0" fontId="18" fillId="0" borderId="0" applyAlignment="1" pivotButton="0" quotePrefix="0" xfId="0">
      <alignment horizontal="general" vertical="center"/>
    </xf>
    <xf numFmtId="0" fontId="31" fillId="0" borderId="0" applyAlignment="1" pivotButton="0" quotePrefix="0" xfId="0">
      <alignment horizontal="general" vertical="center"/>
    </xf>
    <xf numFmtId="0" fontId="32" fillId="0" borderId="0" applyAlignment="1" pivotButton="0" quotePrefix="0" xfId="0">
      <alignment horizontal="left" vertical="center" wrapText="1"/>
    </xf>
    <xf numFmtId="0" fontId="7" fillId="10" borderId="0" applyAlignment="1" pivotButton="0" quotePrefix="0" xfId="0">
      <alignment horizontal="general" vertical="center"/>
    </xf>
    <xf numFmtId="0" fontId="25" fillId="0" borderId="0" applyAlignment="1" pivotButton="0" quotePrefix="0" xfId="0">
      <alignment horizontal="general" vertical="center"/>
    </xf>
    <xf numFmtId="0" fontId="10" fillId="10" borderId="0" applyAlignment="1" pivotButton="0" quotePrefix="0" xfId="0">
      <alignment horizontal="general" vertical="center"/>
    </xf>
    <xf numFmtId="0" fontId="10" fillId="0" borderId="1" applyAlignment="1" pivotButton="0" quotePrefix="0" xfId="0">
      <alignment horizontal="center" vertical="center"/>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33" fillId="0" borderId="1" applyAlignment="1" pivotButton="0" quotePrefix="0" xfId="0">
      <alignment horizontal="center" vertical="center"/>
    </xf>
    <xf numFmtId="0" fontId="10" fillId="0" borderId="1" applyAlignment="1" pivotButton="0" quotePrefix="0" xfId="0">
      <alignment horizontal="general" vertical="center" wrapText="1"/>
    </xf>
    <xf numFmtId="0" fontId="10" fillId="0" borderId="1" applyAlignment="1" pivotButton="0" quotePrefix="0" xfId="0">
      <alignment horizontal="left" vertical="center" wrapText="1"/>
    </xf>
    <xf numFmtId="0" fontId="7" fillId="12" borderId="1" applyAlignment="1" pivotButton="0" quotePrefix="0" xfId="0">
      <alignment horizontal="general" vertical="center" wrapText="1"/>
    </xf>
    <xf numFmtId="0" fontId="7" fillId="12" borderId="1" applyAlignment="1" pivotButton="0" quotePrefix="0" xfId="0">
      <alignment horizontal="center" vertical="center" wrapText="1"/>
    </xf>
    <xf numFmtId="0" fontId="34" fillId="0" borderId="1" applyAlignment="1" pivotButton="0" quotePrefix="0" xfId="0">
      <alignment horizontal="center" vertical="center"/>
    </xf>
    <xf numFmtId="0" fontId="10" fillId="0" borderId="1" applyAlignment="1" pivotButton="0" quotePrefix="0" xfId="0">
      <alignment horizontal="center" vertical="center" wrapText="1"/>
    </xf>
    <xf numFmtId="0" fontId="7"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10" fillId="0" borderId="0" applyAlignment="1" pivotButton="0" quotePrefix="0" xfId="0">
      <alignment horizontal="left" vertical="center" wrapText="1"/>
    </xf>
    <xf numFmtId="0" fontId="5" fillId="0" borderId="0" applyAlignment="1" pivotButton="0" quotePrefix="0" xfId="0">
      <alignment horizontal="left" vertical="center"/>
    </xf>
    <xf numFmtId="0" fontId="7" fillId="0" borderId="7" applyAlignment="1" pivotButton="0" quotePrefix="0" xfId="0">
      <alignment horizontal="left" vertical="center" wrapText="1"/>
    </xf>
    <xf numFmtId="0" fontId="5" fillId="0" borderId="1" applyAlignment="1" pivotButton="0" quotePrefix="0" xfId="0">
      <alignment horizontal="general" vertical="center"/>
    </xf>
    <xf numFmtId="0" fontId="5" fillId="0" borderId="1" applyAlignment="1" pivotButton="0" quotePrefix="0" xfId="0">
      <alignment horizontal="left" vertical="center"/>
    </xf>
    <xf numFmtId="0" fontId="7" fillId="11" borderId="0" applyAlignment="1" pivotButton="0" quotePrefix="0" xfId="0">
      <alignment horizontal="general" vertical="center"/>
    </xf>
    <xf numFmtId="0" fontId="5" fillId="11" borderId="0" applyAlignment="1" pivotButton="0" quotePrefix="0" xfId="0">
      <alignment horizontal="general" vertical="center"/>
    </xf>
    <xf numFmtId="0" fontId="10" fillId="11" borderId="0" applyAlignment="1" pivotButton="0" quotePrefix="0" xfId="0">
      <alignment horizontal="left" vertical="center" wrapText="1"/>
    </xf>
    <xf numFmtId="0" fontId="10" fillId="11" borderId="0" applyAlignment="1" pivotButton="0" quotePrefix="0" xfId="0">
      <alignment horizontal="left" vertical="center"/>
    </xf>
    <xf numFmtId="0" fontId="10" fillId="11" borderId="0" applyAlignment="1" pivotButton="0" quotePrefix="0" xfId="0">
      <alignment horizontal="general" vertical="center"/>
    </xf>
    <xf numFmtId="0" fontId="8" fillId="11" borderId="0" applyAlignment="1" pivotButton="0" quotePrefix="0" xfId="0">
      <alignment horizontal="general" vertical="center"/>
    </xf>
    <xf numFmtId="0" fontId="6" fillId="0" borderId="0" applyAlignment="1" pivotButton="0" quotePrefix="0" xfId="0">
      <alignment horizontal="left" vertical="center" wrapText="1"/>
    </xf>
    <xf numFmtId="0" fontId="35" fillId="0" borderId="0" applyAlignment="1" pivotButton="0" quotePrefix="0" xfId="0">
      <alignment horizontal="left" vertical="center" wrapText="1"/>
    </xf>
    <xf numFmtId="0" fontId="36" fillId="0" borderId="0" applyAlignment="1" pivotButton="0" quotePrefix="0" xfId="0">
      <alignment horizontal="left" vertical="top" wrapText="1"/>
    </xf>
    <xf numFmtId="0" fontId="11" fillId="0" borderId="0" applyAlignment="1" pivotButton="0" quotePrefix="0" xfId="0">
      <alignment horizontal="left" vertical="center" wrapText="1"/>
    </xf>
    <xf numFmtId="0" fontId="8" fillId="2" borderId="8" applyAlignment="1" pivotButton="0" quotePrefix="0" xfId="0">
      <alignment horizontal="general" vertical="center"/>
    </xf>
    <xf numFmtId="0" fontId="5" fillId="11" borderId="8" applyAlignment="1" pivotButton="0" quotePrefix="0" xfId="0">
      <alignment horizontal="general" vertical="center"/>
    </xf>
    <xf numFmtId="164" fontId="37" fillId="11" borderId="0" applyAlignment="1" pivotButton="0" quotePrefix="0" xfId="0">
      <alignment horizontal="left" vertical="center"/>
    </xf>
    <xf numFmtId="49" fontId="5" fillId="11" borderId="0" applyAlignment="1" pivotButton="0" quotePrefix="0" xfId="0">
      <alignment horizontal="general" vertical="center"/>
    </xf>
    <xf numFmtId="0" fontId="5" fillId="2" borderId="0" applyAlignment="1" pivotButton="0" quotePrefix="0" xfId="0">
      <alignment horizontal="general" vertical="center"/>
    </xf>
    <xf numFmtId="171" fontId="8" fillId="2" borderId="0" applyAlignment="1" pivotButton="0" quotePrefix="0" xfId="0">
      <alignment horizontal="left" vertical="distributed" wrapText="1"/>
    </xf>
    <xf numFmtId="0" fontId="0" fillId="0" borderId="0" applyAlignment="1" pivotButton="0" quotePrefix="0" xfId="0">
      <alignment horizontal="general" vertical="bottom"/>
    </xf>
    <xf numFmtId="0" fontId="0" fillId="0" borderId="0" pivotButton="0" quotePrefix="0" xfId="0"/>
    <xf numFmtId="0" fontId="38" fillId="0" borderId="0" applyAlignment="1" pivotButton="0" quotePrefix="0" xfId="0">
      <alignment horizontal="general" vertical="center"/>
    </xf>
    <xf numFmtId="0" fontId="5" fillId="0" borderId="0" applyAlignment="1" pivotButton="0" quotePrefix="0" xfId="0">
      <alignment horizontal="general" vertical="center"/>
    </xf>
    <xf numFmtId="0" fontId="39" fillId="2" borderId="0" applyAlignment="1" pivotButton="0" quotePrefix="0" xfId="0">
      <alignment horizontal="center" vertical="center"/>
    </xf>
    <xf numFmtId="0" fontId="40" fillId="0" borderId="0" applyAlignment="1" pivotButton="0" quotePrefix="0" xfId="0">
      <alignment horizontal="right" vertical="center"/>
    </xf>
    <xf numFmtId="0" fontId="41" fillId="0" borderId="0" applyAlignment="1" pivotButton="0" quotePrefix="0" xfId="0">
      <alignment horizontal="general" vertical="center" wrapText="1"/>
    </xf>
    <xf numFmtId="0" fontId="41" fillId="0" borderId="0" applyAlignment="1" pivotButton="0" quotePrefix="0" xfId="0">
      <alignment horizontal="left" vertical="center" wrapText="1"/>
    </xf>
    <xf numFmtId="0" fontId="40" fillId="0" borderId="0" applyAlignment="1" pivotButton="0" quotePrefix="0" xfId="0">
      <alignment horizontal="left" vertical="center"/>
    </xf>
    <xf numFmtId="0" fontId="7" fillId="0" borderId="0" applyAlignment="1" pivotButton="0" quotePrefix="0" xfId="0">
      <alignment horizontal="right" vertical="center"/>
    </xf>
    <xf numFmtId="0" fontId="41" fillId="0" borderId="0" applyAlignment="1" pivotButton="0" quotePrefix="0" xfId="0">
      <alignment horizontal="general" vertical="center"/>
    </xf>
    <xf numFmtId="164" fontId="42" fillId="2" borderId="0" applyAlignment="1" pivotButton="0" quotePrefix="0" xfId="0">
      <alignment horizontal="left" vertical="center"/>
    </xf>
    <xf numFmtId="0" fontId="8" fillId="0" borderId="0" applyAlignment="1" pivotButton="0" quotePrefix="0" xfId="0">
      <alignment horizontal="general" vertical="center"/>
    </xf>
    <xf numFmtId="0" fontId="40" fillId="0" borderId="0" applyAlignment="1" pivotButton="0" quotePrefix="0" xfId="0">
      <alignment horizontal="general" vertical="center"/>
    </xf>
    <xf numFmtId="0" fontId="41" fillId="2" borderId="0" applyAlignment="1" pivotButton="0" quotePrefix="0" xfId="0">
      <alignment horizontal="center" vertical="center"/>
    </xf>
    <xf numFmtId="0" fontId="9" fillId="3" borderId="0" applyAlignment="1" pivotButton="0" quotePrefix="0" xfId="0">
      <alignment horizontal="general" vertical="center"/>
    </xf>
    <xf numFmtId="164" fontId="40" fillId="2" borderId="0" applyAlignment="1" pivotButton="0" quotePrefix="0" xfId="0">
      <alignment horizontal="center" vertical="center"/>
    </xf>
    <xf numFmtId="0" fontId="43" fillId="0" borderId="0" applyAlignment="1" pivotButton="0" quotePrefix="0" xfId="0">
      <alignment horizontal="general" vertical="center"/>
    </xf>
    <xf numFmtId="0" fontId="44" fillId="4" borderId="0" applyAlignment="1" pivotButton="0" quotePrefix="0" xfId="0">
      <alignment horizontal="general" vertical="center"/>
    </xf>
    <xf numFmtId="0" fontId="5" fillId="4" borderId="0" applyAlignment="1" pivotButton="0" quotePrefix="0" xfId="0">
      <alignment horizontal="general" vertical="center"/>
    </xf>
    <xf numFmtId="165" fontId="42" fillId="2" borderId="0" applyAlignment="1" pivotButton="0" quotePrefix="0" xfId="0">
      <alignment horizontal="left" vertical="center"/>
    </xf>
    <xf numFmtId="0" fontId="43" fillId="4" borderId="0" applyAlignment="1" pivotButton="0" quotePrefix="0" xfId="0">
      <alignment horizontal="general" vertical="top"/>
    </xf>
    <xf numFmtId="0" fontId="44" fillId="0" borderId="0" applyAlignment="1" pivotButton="0" quotePrefix="0" xfId="0">
      <alignment horizontal="general" vertical="center"/>
    </xf>
    <xf numFmtId="0" fontId="8" fillId="0" borderId="0" applyAlignment="1" pivotButton="0" quotePrefix="0" xfId="0">
      <alignment horizontal="center" vertical="center"/>
    </xf>
    <xf numFmtId="0" fontId="5" fillId="0" borderId="0" applyAlignment="1" pivotButton="0" quotePrefix="0" xfId="0">
      <alignment horizontal="center" vertical="top"/>
    </xf>
    <xf numFmtId="0" fontId="40" fillId="3" borderId="0" applyAlignment="1" pivotButton="0" quotePrefix="0" xfId="0">
      <alignment horizontal="general" vertical="center"/>
    </xf>
    <xf numFmtId="164" fontId="41" fillId="2" borderId="1" applyAlignment="1" pivotButton="0" quotePrefix="0" xfId="0">
      <alignment horizontal="center" vertical="center"/>
    </xf>
    <xf numFmtId="0" fontId="43" fillId="3" borderId="0" applyAlignment="1" pivotButton="0" quotePrefix="0" xfId="0">
      <alignment horizontal="center" vertical="center"/>
    </xf>
    <xf numFmtId="0" fontId="43" fillId="3" borderId="0" applyAlignment="1" pivotButton="0" quotePrefix="0" xfId="0">
      <alignment horizontal="right" vertical="center"/>
    </xf>
    <xf numFmtId="0" fontId="43" fillId="2" borderId="1" applyAlignment="1" pivotButton="0" quotePrefix="0" xfId="0">
      <alignment horizontal="left" vertical="center"/>
    </xf>
    <xf numFmtId="166" fontId="41" fillId="2" borderId="0" applyAlignment="1" pivotButton="0" quotePrefix="0" xfId="0">
      <alignment horizontal="right" vertical="center"/>
    </xf>
    <xf numFmtId="166" fontId="43" fillId="5" borderId="0" applyAlignment="1" pivotButton="0" quotePrefix="0" xfId="0">
      <alignment horizontal="center" vertical="center"/>
    </xf>
    <xf numFmtId="0" fontId="43" fillId="2" borderId="0" applyAlignment="1" pivotButton="0" quotePrefix="0" xfId="0">
      <alignment horizontal="left" vertical="center"/>
    </xf>
    <xf numFmtId="0" fontId="40" fillId="0" borderId="0" applyAlignment="1" pivotButton="0" quotePrefix="0" xfId="0">
      <alignment horizontal="left" vertical="center" wrapText="1"/>
    </xf>
    <xf numFmtId="0" fontId="45" fillId="4" borderId="1" applyAlignment="1" pivotButton="0" quotePrefix="0" xfId="0">
      <alignment horizontal="center" vertical="center"/>
    </xf>
    <xf numFmtId="0" fontId="46" fillId="4" borderId="2" applyAlignment="1" pivotButton="0" quotePrefix="0" xfId="0">
      <alignment horizontal="left" vertical="center" wrapText="1"/>
    </xf>
    <xf numFmtId="0" fontId="41" fillId="2" borderId="1" applyAlignment="1" pivotButton="0" quotePrefix="0" xfId="0">
      <alignment horizontal="center" vertical="center"/>
    </xf>
    <xf numFmtId="167" fontId="45" fillId="4" borderId="1" applyAlignment="1" pivotButton="0" quotePrefix="0" xfId="0">
      <alignment horizontal="center" vertical="center"/>
    </xf>
    <xf numFmtId="0" fontId="47" fillId="4" borderId="2" applyAlignment="1" pivotButton="0" quotePrefix="0" xfId="0">
      <alignment horizontal="general" vertical="center"/>
    </xf>
    <xf numFmtId="0" fontId="47" fillId="2" borderId="0" applyAlignment="1" pivotButton="0" quotePrefix="0" xfId="0">
      <alignment horizontal="center" vertical="center"/>
    </xf>
    <xf numFmtId="0" fontId="40" fillId="6" borderId="0" applyAlignment="1" pivotButton="0" quotePrefix="0" xfId="0">
      <alignment horizontal="left" vertical="center"/>
    </xf>
    <xf numFmtId="168" fontId="8" fillId="6" borderId="0" applyAlignment="1" pivotButton="0" quotePrefix="0" xfId="0">
      <alignment horizontal="right" vertical="center"/>
    </xf>
    <xf numFmtId="166" fontId="41" fillId="2" borderId="0" applyAlignment="1" pivotButton="0" quotePrefix="0" xfId="0">
      <alignment horizontal="left" vertical="center"/>
    </xf>
    <xf numFmtId="0" fontId="14" fillId="6" borderId="0" applyAlignment="1" pivotButton="0" quotePrefix="0" xfId="0">
      <alignment horizontal="left" vertical="center"/>
    </xf>
    <xf numFmtId="0" fontId="8" fillId="6" borderId="0" applyAlignment="1" pivotButton="0" quotePrefix="0" xfId="0">
      <alignment horizontal="general" vertical="center"/>
    </xf>
    <xf numFmtId="0" fontId="43" fillId="4" borderId="0" applyAlignment="1" pivotButton="0" quotePrefix="0" xfId="0">
      <alignment horizontal="general" vertical="center"/>
    </xf>
    <xf numFmtId="0" fontId="41" fillId="2" borderId="0" applyAlignment="1" pivotButton="0" quotePrefix="0" xfId="0">
      <alignment horizontal="left" vertical="center"/>
    </xf>
    <xf numFmtId="0" fontId="43" fillId="4" borderId="0" applyAlignment="1" pivotButton="0" quotePrefix="0" xfId="0">
      <alignment horizontal="right" vertical="center"/>
    </xf>
    <xf numFmtId="166" fontId="41" fillId="2" borderId="0" applyAlignment="1" pivotButton="0" quotePrefix="0" xfId="0">
      <alignment horizontal="general" vertical="center"/>
    </xf>
    <xf numFmtId="0" fontId="45" fillId="0" borderId="0" applyAlignment="1" pivotButton="0" quotePrefix="0" xfId="0">
      <alignment horizontal="general" vertical="center"/>
    </xf>
    <xf numFmtId="0" fontId="6" fillId="0" borderId="0" applyAlignment="1" pivotButton="0" quotePrefix="0" xfId="0">
      <alignment horizontal="general" vertical="center"/>
    </xf>
    <xf numFmtId="0" fontId="15" fillId="7" borderId="0" applyAlignment="1" pivotButton="0" quotePrefix="0" xfId="0">
      <alignment horizontal="general" vertical="center" wrapText="1"/>
    </xf>
    <xf numFmtId="0" fontId="43" fillId="0" borderId="0" applyAlignment="1" pivotButton="0" quotePrefix="0" xfId="0">
      <alignment horizontal="right" vertical="center"/>
    </xf>
    <xf numFmtId="0" fontId="48" fillId="2" borderId="0" applyAlignment="1" pivotButton="0" quotePrefix="0" xfId="0">
      <alignment horizontal="left" vertical="center" wrapText="1"/>
    </xf>
    <xf numFmtId="0" fontId="43" fillId="6" borderId="1" applyAlignment="1" pivotButton="0" quotePrefix="0" xfId="0">
      <alignment horizontal="center" vertical="center"/>
    </xf>
    <xf numFmtId="0" fontId="43" fillId="6" borderId="3" applyAlignment="1" pivotButton="0" quotePrefix="0" xfId="0">
      <alignment horizontal="center" vertical="center"/>
    </xf>
    <xf numFmtId="0" fontId="49" fillId="8" borderId="0" applyAlignment="1" pivotButton="0" quotePrefix="0" xfId="0">
      <alignment horizontal="general" vertical="center"/>
    </xf>
    <xf numFmtId="0" fontId="50" fillId="2" borderId="0" applyAlignment="1" pivotButton="0" quotePrefix="0" xfId="0">
      <alignment horizontal="general" vertical="bottom"/>
    </xf>
    <xf numFmtId="0" fontId="5" fillId="8" borderId="0" applyAlignment="1" pivotButton="0" quotePrefix="0" xfId="0">
      <alignment horizontal="general" vertical="center"/>
    </xf>
    <xf numFmtId="0" fontId="40" fillId="6" borderId="1" applyAlignment="1" pivotButton="0" quotePrefix="0" xfId="0">
      <alignment horizontal="center" vertical="center"/>
    </xf>
    <xf numFmtId="168" fontId="41" fillId="2" borderId="1" applyAlignment="1" pivotButton="0" quotePrefix="0" xfId="0">
      <alignment horizontal="right" vertical="center"/>
    </xf>
    <xf numFmtId="167" fontId="41" fillId="2" borderId="1" applyAlignment="1" pivotButton="0" quotePrefix="0" xfId="0">
      <alignment horizontal="right" vertical="center"/>
    </xf>
    <xf numFmtId="0" fontId="51" fillId="8" borderId="0" applyAlignment="1" pivotButton="0" quotePrefix="0" xfId="0">
      <alignment horizontal="left" vertical="center"/>
    </xf>
    <xf numFmtId="168" fontId="49" fillId="2" borderId="4" applyAlignment="1" pivotButton="0" quotePrefix="0" xfId="0">
      <alignment horizontal="left" vertical="center"/>
    </xf>
    <xf numFmtId="0" fontId="19" fillId="8" borderId="0" applyAlignment="1" pivotButton="0" quotePrefix="0" xfId="0">
      <alignment horizontal="general" vertical="center"/>
    </xf>
    <xf numFmtId="0" fontId="51" fillId="6" borderId="0" applyAlignment="1" pivotButton="0" quotePrefix="0" xfId="0">
      <alignment horizontal="left" vertical="center"/>
    </xf>
    <xf numFmtId="0" fontId="19" fillId="6" borderId="0" applyAlignment="1" pivotButton="0" quotePrefix="0" xfId="0">
      <alignment horizontal="left" vertical="center"/>
    </xf>
    <xf numFmtId="0" fontId="19" fillId="6" borderId="0" applyAlignment="1" pivotButton="0" quotePrefix="0" xfId="0">
      <alignment horizontal="general" vertical="center"/>
    </xf>
    <xf numFmtId="0" fontId="51" fillId="2" borderId="0" applyAlignment="1" pivotButton="0" quotePrefix="0" xfId="0">
      <alignment horizontal="left" vertical="center"/>
    </xf>
    <xf numFmtId="0" fontId="49" fillId="6" borderId="1" applyAlignment="1" pivotButton="0" quotePrefix="0" xfId="0">
      <alignment horizontal="center" vertical="center" wrapText="1"/>
    </xf>
    <xf numFmtId="168" fontId="49" fillId="2" borderId="1" applyAlignment="1" pivotButton="0" quotePrefix="0" xfId="0">
      <alignment horizontal="right" vertical="center"/>
    </xf>
    <xf numFmtId="0" fontId="21" fillId="6" borderId="0" applyAlignment="1" pivotButton="0" quotePrefix="0" xfId="0">
      <alignment horizontal="general" vertical="center" wrapText="1"/>
    </xf>
    <xf numFmtId="0" fontId="49" fillId="9" borderId="1" applyAlignment="1" pivotButton="0" quotePrefix="0" xfId="0">
      <alignment horizontal="center" vertical="center"/>
    </xf>
    <xf numFmtId="168" fontId="49" fillId="2" borderId="1" applyAlignment="1" pivotButton="0" quotePrefix="0" xfId="0">
      <alignment horizontal="center" vertical="center"/>
    </xf>
    <xf numFmtId="164" fontId="52" fillId="9" borderId="1" applyAlignment="1" pivotButton="0" quotePrefix="0" xfId="0">
      <alignment horizontal="left" vertical="top" wrapText="1"/>
    </xf>
    <xf numFmtId="0" fontId="50" fillId="6" borderId="2" applyAlignment="1" pivotButton="0" quotePrefix="0" xfId="0">
      <alignment horizontal="left" vertical="center" wrapText="1"/>
    </xf>
    <xf numFmtId="0" fontId="53" fillId="7" borderId="1" applyAlignment="1" pivotButton="0" quotePrefix="0" xfId="0">
      <alignment horizontal="center" vertical="center"/>
    </xf>
    <xf numFmtId="0" fontId="54" fillId="7" borderId="5" applyAlignment="1" pivotButton="0" quotePrefix="0" xfId="0">
      <alignment horizontal="left" vertical="top" wrapText="1"/>
    </xf>
    <xf numFmtId="0" fontId="41" fillId="4" borderId="2" applyAlignment="1" pivotButton="0" quotePrefix="0" xfId="0">
      <alignment horizontal="general" vertical="center"/>
    </xf>
    <xf numFmtId="169" fontId="41" fillId="2" borderId="1" applyAlignment="1" pivotButton="0" quotePrefix="0" xfId="0">
      <alignment horizontal="right" vertical="center"/>
    </xf>
    <xf numFmtId="0" fontId="0" fillId="0" borderId="10" pivotButton="0" quotePrefix="0" xfId="0"/>
    <xf numFmtId="0" fontId="45" fillId="2" borderId="2" applyAlignment="1" pivotButton="0" quotePrefix="0" xfId="0">
      <alignment horizontal="center" vertical="center"/>
    </xf>
    <xf numFmtId="0" fontId="45" fillId="2" borderId="0" applyAlignment="1" pivotButton="0" quotePrefix="0" xfId="0">
      <alignment horizontal="left" vertical="center"/>
    </xf>
    <xf numFmtId="0" fontId="54" fillId="3" borderId="0" applyAlignment="1" pivotButton="0" quotePrefix="0" xfId="0">
      <alignment horizontal="center" vertical="center"/>
    </xf>
    <xf numFmtId="168" fontId="55" fillId="2" borderId="0" applyAlignment="1" pivotButton="0" quotePrefix="0" xfId="0">
      <alignment horizontal="left" vertical="center"/>
    </xf>
    <xf numFmtId="168" fontId="49" fillId="2" borderId="0" applyAlignment="1" pivotButton="0" quotePrefix="0" xfId="0">
      <alignment horizontal="left" vertical="center"/>
    </xf>
    <xf numFmtId="0" fontId="43" fillId="2" borderId="0" applyAlignment="1" pivotButton="0" quotePrefix="0" xfId="0">
      <alignment horizontal="general" vertical="center"/>
    </xf>
    <xf numFmtId="168" fontId="56" fillId="2" borderId="0" applyAlignment="1" pivotButton="0" quotePrefix="0" xfId="0">
      <alignment horizontal="center" vertical="center" wrapText="1"/>
    </xf>
    <xf numFmtId="0" fontId="27" fillId="0" borderId="0" applyAlignment="1" pivotButton="0" quotePrefix="0" xfId="0">
      <alignment horizontal="left" vertical="center"/>
    </xf>
    <xf numFmtId="0" fontId="44" fillId="7" borderId="0" applyAlignment="1" pivotButton="0" quotePrefix="0" xfId="0">
      <alignment horizontal="general" vertical="center"/>
    </xf>
    <xf numFmtId="0" fontId="57" fillId="2" borderId="0" applyAlignment="1" pivotButton="0" quotePrefix="0" xfId="0">
      <alignment horizontal="left" vertical="center"/>
    </xf>
    <xf numFmtId="0" fontId="44" fillId="0" borderId="0" applyAlignment="1" pivotButton="0" quotePrefix="0" xfId="0">
      <alignment horizontal="left" vertical="center"/>
    </xf>
    <xf numFmtId="0" fontId="58" fillId="2" borderId="0" applyAlignment="1" pivotButton="0" quotePrefix="0" xfId="0">
      <alignment horizontal="left" vertical="center"/>
    </xf>
    <xf numFmtId="0" fontId="21" fillId="0" borderId="0" applyAlignment="1" pivotButton="0" quotePrefix="0" xfId="0">
      <alignment horizontal="general" vertical="center"/>
    </xf>
    <xf numFmtId="0" fontId="45" fillId="0" borderId="0" applyAlignment="1" pivotButton="0" quotePrefix="0" xfId="0">
      <alignment horizontal="left" vertical="center"/>
    </xf>
    <xf numFmtId="0" fontId="11" fillId="0" borderId="0" applyAlignment="1" pivotButton="0" quotePrefix="0" xfId="0">
      <alignment horizontal="general" vertical="center"/>
    </xf>
    <xf numFmtId="0" fontId="59" fillId="0" borderId="0" applyAlignment="1" pivotButton="0" quotePrefix="0" xfId="0">
      <alignment horizontal="left" vertical="center"/>
    </xf>
    <xf numFmtId="0" fontId="58" fillId="0" borderId="0" applyAlignment="1" pivotButton="0" quotePrefix="0" xfId="0">
      <alignment horizontal="left" vertical="center" wrapText="1"/>
    </xf>
    <xf numFmtId="0" fontId="40" fillId="10" borderId="0" applyAlignment="1" pivotButton="0" quotePrefix="0" xfId="0">
      <alignment horizontal="left" vertical="center"/>
    </xf>
    <xf numFmtId="0" fontId="5" fillId="10" borderId="0" applyAlignment="1" pivotButton="0" quotePrefix="0" xfId="0">
      <alignment horizontal="general" vertical="center"/>
    </xf>
    <xf numFmtId="0" fontId="43" fillId="0" borderId="1" applyAlignment="1" pivotButton="0" quotePrefix="0" xfId="0">
      <alignment horizontal="center" vertical="center"/>
    </xf>
    <xf numFmtId="0" fontId="41" fillId="0" borderId="1" applyAlignment="1" pivotButton="0" quotePrefix="0" xfId="0">
      <alignment horizontal="center" vertical="center" wrapText="1"/>
    </xf>
    <xf numFmtId="0" fontId="41" fillId="0" borderId="1" applyAlignment="1" pivotButton="0" quotePrefix="0" xfId="0">
      <alignment horizontal="left" vertical="center" wrapText="1"/>
    </xf>
    <xf numFmtId="0" fontId="0" fillId="0" borderId="12" pivotButton="0" quotePrefix="0" xfId="0"/>
    <xf numFmtId="0" fontId="0" fillId="0" borderId="5" pivotButton="0" quotePrefix="0" xfId="0"/>
    <xf numFmtId="0" fontId="43" fillId="0" borderId="1" applyAlignment="1" pivotButton="0" quotePrefix="0" xfId="0">
      <alignment horizontal="general" vertical="center" wrapText="1"/>
    </xf>
    <xf numFmtId="0" fontId="43" fillId="0" borderId="1" applyAlignment="1" pivotButton="0" quotePrefix="0" xfId="0">
      <alignment horizontal="left" vertical="center" wrapText="1"/>
    </xf>
    <xf numFmtId="0" fontId="41" fillId="0" borderId="6" applyAlignment="1" pivotButton="0" quotePrefix="0" xfId="0">
      <alignment horizontal="center" vertical="center" wrapText="1"/>
    </xf>
    <xf numFmtId="0" fontId="0" fillId="0" borderId="6" pivotButton="0" quotePrefix="0" xfId="0"/>
    <xf numFmtId="0" fontId="8" fillId="0" borderId="0" applyAlignment="1" pivotButton="0" quotePrefix="0" xfId="0">
      <alignment horizontal="general" vertical="center" wrapText="1"/>
    </xf>
    <xf numFmtId="0" fontId="41" fillId="11" borderId="1" applyAlignment="1" pivotButton="0" quotePrefix="0" xfId="0">
      <alignment horizontal="center" vertical="center" wrapText="1"/>
    </xf>
    <xf numFmtId="170" fontId="60" fillId="0" borderId="1" applyAlignment="1" pivotButton="0" quotePrefix="0" xfId="0">
      <alignment horizontal="center" vertical="center"/>
    </xf>
    <xf numFmtId="0" fontId="5" fillId="0" borderId="0" applyAlignment="1" pivotButton="0" quotePrefix="0" xfId="0">
      <alignment horizontal="general" vertical="center" wrapText="1"/>
    </xf>
    <xf numFmtId="0" fontId="5" fillId="0" borderId="0" applyAlignment="1" pivotButton="0" quotePrefix="0" xfId="0">
      <alignment horizontal="center" vertical="center" wrapText="1"/>
    </xf>
    <xf numFmtId="0" fontId="41" fillId="11" borderId="1" applyAlignment="1" pivotButton="0" quotePrefix="0" xfId="0">
      <alignment horizontal="left" vertical="center" wrapText="1"/>
    </xf>
    <xf numFmtId="170" fontId="29" fillId="0" borderId="6" applyAlignment="1" pivotButton="0" quotePrefix="0" xfId="0">
      <alignment horizontal="center" vertical="center"/>
    </xf>
    <xf numFmtId="0" fontId="5" fillId="0" borderId="6" applyAlignment="1" pivotButton="0" quotePrefix="0" xfId="0">
      <alignment horizontal="general" vertical="center" wrapText="1"/>
    </xf>
    <xf numFmtId="0" fontId="5" fillId="0" borderId="6" applyAlignment="1" pivotButton="0" quotePrefix="0" xfId="0">
      <alignment horizontal="left" vertical="center" wrapText="1"/>
    </xf>
    <xf numFmtId="0" fontId="61" fillId="0" borderId="0" applyAlignment="1" pivotButton="0" quotePrefix="0" xfId="0">
      <alignment horizontal="general" vertical="center"/>
    </xf>
    <xf numFmtId="0" fontId="18" fillId="0" borderId="0" applyAlignment="1" pivotButton="0" quotePrefix="0" xfId="0">
      <alignment horizontal="general" vertical="center"/>
    </xf>
    <xf numFmtId="0" fontId="62" fillId="0" borderId="0" applyAlignment="1" pivotButton="0" quotePrefix="0" xfId="0">
      <alignment horizontal="general" vertical="center"/>
    </xf>
    <xf numFmtId="0" fontId="63" fillId="0" borderId="0" applyAlignment="1" pivotButton="0" quotePrefix="0" xfId="0">
      <alignment horizontal="left" vertical="center" wrapText="1"/>
    </xf>
    <xf numFmtId="0" fontId="40" fillId="10" borderId="0" applyAlignment="1" pivotButton="0" quotePrefix="0" xfId="0">
      <alignment horizontal="general" vertical="center"/>
    </xf>
    <xf numFmtId="0" fontId="25" fillId="0" borderId="0" applyAlignment="1" pivotButton="0" quotePrefix="0" xfId="0">
      <alignment horizontal="general" vertical="center"/>
    </xf>
    <xf numFmtId="0" fontId="10" fillId="10" borderId="0" applyAlignment="1" pivotButton="0" quotePrefix="0" xfId="0">
      <alignment horizontal="general" vertical="center"/>
    </xf>
    <xf numFmtId="0" fontId="44" fillId="0" borderId="1" applyAlignment="1" pivotButton="0" quotePrefix="0" xfId="0">
      <alignment horizontal="center" vertical="center"/>
    </xf>
    <xf numFmtId="0" fontId="40" fillId="0" borderId="1" applyAlignment="1" pivotButton="0" quotePrefix="0" xfId="0">
      <alignment horizontal="general" vertical="center" wrapText="1"/>
    </xf>
    <xf numFmtId="0" fontId="40" fillId="0" borderId="1" applyAlignment="1" pivotButton="0" quotePrefix="0" xfId="0">
      <alignment horizontal="center" vertical="center" wrapText="1"/>
    </xf>
    <xf numFmtId="0" fontId="44" fillId="0" borderId="1" applyAlignment="1" pivotButton="0" quotePrefix="0" xfId="0">
      <alignment horizontal="general" vertical="center" wrapText="1"/>
    </xf>
    <xf numFmtId="0" fontId="44" fillId="0" borderId="1" applyAlignment="1" pivotButton="0" quotePrefix="0" xfId="0">
      <alignment horizontal="left" vertical="center" wrapText="1"/>
    </xf>
    <xf numFmtId="0" fontId="40" fillId="12" borderId="1" applyAlignment="1" pivotButton="0" quotePrefix="0" xfId="0">
      <alignment horizontal="general" vertical="center" wrapText="1"/>
    </xf>
    <xf numFmtId="0" fontId="40" fillId="12" borderId="1" applyAlignment="1" pivotButton="0" quotePrefix="0" xfId="0">
      <alignment horizontal="center" vertical="center" wrapText="1"/>
    </xf>
    <xf numFmtId="0" fontId="64" fillId="0" borderId="1" applyAlignment="1" pivotButton="0" quotePrefix="0" xfId="0">
      <alignment horizontal="center" vertical="center"/>
    </xf>
    <xf numFmtId="0" fontId="44" fillId="0" borderId="1" applyAlignment="1" pivotButton="0" quotePrefix="0" xfId="0">
      <alignment horizontal="center" vertical="center" wrapText="1"/>
    </xf>
    <xf numFmtId="0" fontId="40"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44" fillId="0" borderId="0" applyAlignment="1" pivotButton="0" quotePrefix="0" xfId="0">
      <alignment horizontal="left" vertical="center" wrapText="1"/>
    </xf>
    <xf numFmtId="0" fontId="5" fillId="0" borderId="0" applyAlignment="1" pivotButton="0" quotePrefix="0" xfId="0">
      <alignment horizontal="left" vertical="center"/>
    </xf>
    <xf numFmtId="0" fontId="40" fillId="0" borderId="7" applyAlignment="1" pivotButton="0" quotePrefix="0" xfId="0">
      <alignment horizontal="left" vertical="center" wrapText="1"/>
    </xf>
    <xf numFmtId="0" fontId="0" fillId="0" borderId="7" pivotButton="0" quotePrefix="0" xfId="0"/>
    <xf numFmtId="0" fontId="10" fillId="0" borderId="0" applyAlignment="1" pivotButton="0" quotePrefix="0" xfId="0">
      <alignment horizontal="left" vertical="center" wrapText="1"/>
    </xf>
    <xf numFmtId="0" fontId="43" fillId="0" borderId="1" applyAlignment="1" pivotButton="0" quotePrefix="0" xfId="0">
      <alignment horizontal="general" vertical="center"/>
    </xf>
    <xf numFmtId="0" fontId="43" fillId="0" borderId="1" applyAlignment="1" pivotButton="0" quotePrefix="0" xfId="0">
      <alignment horizontal="left" vertical="center"/>
    </xf>
    <xf numFmtId="0" fontId="40" fillId="11" borderId="0" applyAlignment="1" pivotButton="0" quotePrefix="0" xfId="0">
      <alignment horizontal="general" vertical="center"/>
    </xf>
    <xf numFmtId="0" fontId="5" fillId="11" borderId="0" applyAlignment="1" pivotButton="0" quotePrefix="0" xfId="0">
      <alignment horizontal="general" vertical="center"/>
    </xf>
    <xf numFmtId="0" fontId="44" fillId="11" borderId="0" applyAlignment="1" pivotButton="0" quotePrefix="0" xfId="0">
      <alignment horizontal="left" vertical="center" wrapText="1"/>
    </xf>
    <xf numFmtId="0" fontId="44" fillId="11" borderId="0" applyAlignment="1" pivotButton="0" quotePrefix="0" xfId="0">
      <alignment horizontal="left" vertical="center"/>
    </xf>
    <xf numFmtId="0" fontId="43" fillId="11" borderId="0" applyAlignment="1" pivotButton="0" quotePrefix="0" xfId="0">
      <alignment horizontal="general" vertical="center"/>
    </xf>
    <xf numFmtId="0" fontId="44" fillId="11" borderId="0" applyAlignment="1" pivotButton="0" quotePrefix="0" xfId="0">
      <alignment horizontal="general" vertical="center"/>
    </xf>
    <xf numFmtId="0" fontId="10" fillId="11" borderId="0" applyAlignment="1" pivotButton="0" quotePrefix="0" xfId="0">
      <alignment horizontal="general" vertical="center"/>
    </xf>
    <xf numFmtId="0" fontId="41" fillId="11" borderId="0" applyAlignment="1" pivotButton="0" quotePrefix="0" xfId="0">
      <alignment horizontal="general" vertical="center"/>
    </xf>
    <xf numFmtId="0" fontId="8" fillId="11" borderId="0" applyAlignment="1" pivotButton="0" quotePrefix="0" xfId="0">
      <alignment horizontal="general" vertical="center"/>
    </xf>
    <xf numFmtId="0" fontId="39"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top" wrapText="1"/>
    </xf>
    <xf numFmtId="0" fontId="45" fillId="0" borderId="0" applyAlignment="1" pivotButton="0" quotePrefix="0" xfId="0">
      <alignment horizontal="left" vertical="center" wrapText="1"/>
    </xf>
    <xf numFmtId="0" fontId="41" fillId="2" borderId="8" applyAlignment="1" pivotButton="0" quotePrefix="0" xfId="0">
      <alignment horizontal="general" vertical="center"/>
    </xf>
    <xf numFmtId="0" fontId="5" fillId="11" borderId="8" applyAlignment="1" pivotButton="0" quotePrefix="0" xfId="0">
      <alignment horizontal="general" vertical="center"/>
    </xf>
    <xf numFmtId="164" fontId="37" fillId="11" borderId="0" applyAlignment="1" pivotButton="0" quotePrefix="0" xfId="0">
      <alignment horizontal="left" vertical="center"/>
    </xf>
    <xf numFmtId="49" fontId="5" fillId="11" borderId="0" applyAlignment="1" pivotButton="0" quotePrefix="0" xfId="0">
      <alignment horizontal="general" vertical="center"/>
    </xf>
    <xf numFmtId="171" fontId="41" fillId="2" borderId="0" applyAlignment="1" pivotButton="0" quotePrefix="0" xfId="0">
      <alignment horizontal="left" vertical="distributed" wrapText="1"/>
    </xf>
    <xf numFmtId="165" fontId="9" fillId="2" borderId="0" applyAlignment="1" pivotButton="0" quotePrefix="0" xfId="0">
      <alignment horizontal="left" vertical="center" wrapText="1"/>
    </xf>
    <xf numFmtId="168" fontId="17" fillId="2" borderId="13" applyAlignment="1" pivotButton="0" quotePrefix="0" xfId="0">
      <alignment horizontal="left" vertical="center" wrapText="1"/>
    </xf>
    <xf numFmtId="0" fontId="8" fillId="2" borderId="14" applyAlignment="1" pivotButton="0" quotePrefix="0" xfId="0">
      <alignment horizontal="left" vertical="center" wrapText="1"/>
    </xf>
    <xf numFmtId="0" fontId="0" fillId="0" borderId="8" pivotButton="0" quotePrefix="0" xfId="0"/>
    <xf numFmtId="165" fontId="67" fillId="2" borderId="0" applyAlignment="1" pivotButton="0" quotePrefix="0" xfId="0">
      <alignment horizontal="left" vertical="center" wrapText="1"/>
    </xf>
    <xf numFmtId="0" fontId="5" fillId="4" borderId="0" applyAlignment="1" pivotButton="0" quotePrefix="0" xfId="0">
      <alignment horizontal="left" vertical="center" wrapText="1"/>
    </xf>
    <xf numFmtId="0" fontId="0" fillId="0" borderId="16" pivotButton="0" quotePrefix="0" xfId="0"/>
    <xf numFmtId="0" fontId="5" fillId="11" borderId="0" applyAlignment="1" pivotButton="0" quotePrefix="0" xfId="0">
      <alignment horizontal="center" vertical="center"/>
    </xf>
    <xf numFmtId="0" fontId="68" fillId="2"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B7DEE8"/>
      <rgbColor rgb="FF000080"/>
      <rgbColor rgb="FFFF00FF"/>
      <rgbColor rgb="FFFFFF00"/>
      <rgbColor rgb="FF00FFFF"/>
      <rgbColor rgb="FF800080"/>
      <rgbColor rgb="FF800000"/>
      <rgbColor rgb="FF008080"/>
      <rgbColor rgb="FF0000FF"/>
      <rgbColor rgb="FF00CCFF"/>
      <rgbColor rgb="FFF2F2F2"/>
      <rgbColor rgb="FFFCFBF9"/>
      <rgbColor rgb="FFFAF2D8"/>
      <rgbColor rgb="FF99CCFF"/>
      <rgbColor rgb="FFFF99CC"/>
      <rgbColor rgb="FFCC99FF"/>
      <rgbColor rgb="FFFCDCE9"/>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autoPageBreaks="0" fitToPage="1"/>
  </sheetPr>
  <dimension ref="A1:G185"/>
  <sheetViews>
    <sheetView showFormulas="0" showGridLines="1" showRowColHeaders="1" showZeros="1" rightToLeft="0" tabSelected="1" showOutlineSymbols="1" defaultGridColor="1" view="normal" topLeftCell="B10" colorId="64" zoomScale="100" zoomScaleNormal="100" zoomScalePageLayoutView="100" workbookViewId="0">
      <selection pane="topLeft" activeCell="E33" activeCellId="0" sqref="E33"/>
    </sheetView>
  </sheetViews>
  <sheetFormatPr baseColWidth="8" defaultColWidth="7.89453125" defaultRowHeight="15" customHeight="0" zeroHeight="0" outlineLevelRow="0"/>
  <cols>
    <col width="17.63" customWidth="1" style="147" min="1" max="1"/>
    <col width="20.58" customWidth="1" style="147" min="2" max="2"/>
    <col width="22.4" customWidth="1" style="147" min="3" max="3"/>
    <col width="23.31" customWidth="1" style="147" min="4" max="4"/>
    <col width="18.09" customWidth="1" style="147" min="5" max="5"/>
    <col width="14.9" customWidth="1" style="147" min="6" max="6"/>
    <col width="12.17" customWidth="1" style="147" min="7" max="7"/>
  </cols>
  <sheetData>
    <row r="1" ht="19.7" customHeight="1" s="148">
      <c r="A1" s="1" t="inlineStr">
        <is>
          <t>新竹市月子照顧服務人員職業工會坐月子到府服務定型化契約書</t>
        </is>
      </c>
      <c r="B1" s="150" t="n"/>
      <c r="C1" s="150" t="n"/>
      <c r="D1" s="150" t="n"/>
      <c r="E1" s="150" t="n"/>
      <c r="F1" s="3" t="inlineStr">
        <is>
          <t>訂單編號((市府表單))</t>
        </is>
      </c>
    </row>
    <row r="2" ht="15" customHeight="1" s="148">
      <c r="A2" s="156" t="inlineStr">
        <is>
          <t>■月子服務□到府管家</t>
        </is>
      </c>
    </row>
    <row r="3" ht="15" customHeight="1" s="148">
      <c r="A3" s="256" t="inlineStr">
        <is>
          <t>補助資格說明：</t>
        </is>
      </c>
      <c r="B3" s="6" t="inlineStr">
        <is>
          <t>本補助方案之生效，以新竹市政府核定之補助資格為準；凡未經核定或資格不符者，本方案不具法律約束力。</t>
        </is>
      </c>
    </row>
    <row r="4" ht="15" customHeight="1" s="148">
      <c r="A4" s="256" t="inlineStr">
        <is>
          <t xml:space="preserve">訂金匯款須知： </t>
        </is>
      </c>
      <c r="B4" s="6" t="inlineStr">
        <is>
          <t>請於下單後 5 日內完成訂金匯款。逾期未入帳者，系統將自動取消該訂單及相關服務計畫，且不保留原定服務人員與時段。</t>
        </is>
      </c>
    </row>
    <row r="5" ht="15" customHeight="1" s="148">
      <c r="A5" s="7" t="inlineStr">
        <is>
          <t>雙方同意訂立條款如下:</t>
        </is>
      </c>
      <c r="C5" s="156" t="n"/>
      <c r="D5" s="156" t="n"/>
      <c r="E5" s="156" t="n"/>
      <c r="F5" s="156" t="n"/>
      <c r="G5" s="156" t="n"/>
    </row>
    <row r="6" ht="15" customHeight="1" s="148">
      <c r="A6" s="159" t="inlineStr">
        <is>
          <t>第一章 契約基本事項</t>
        </is>
      </c>
      <c r="B6" s="150" t="n"/>
      <c r="C6" s="150" t="n"/>
      <c r="D6" s="150" t="n"/>
      <c r="E6" s="150" t="n"/>
      <c r="F6" s="150" t="n"/>
      <c r="G6" s="150" t="n"/>
    </row>
    <row r="7" ht="19.7" customHeight="1" s="148">
      <c r="A7" s="7" t="inlineStr">
        <is>
          <t xml:space="preserve">本契約於 </t>
        </is>
      </c>
      <c r="B7" s="9" t="inlineStr">
        <is>
          <t>TODAY()</t>
        </is>
      </c>
      <c r="C7" s="159" t="inlineStr">
        <is>
          <t>經甲方攜回審閱五日(契約審閱期間至少為五日)</t>
        </is>
      </c>
      <c r="D7" s="159" t="n"/>
      <c r="E7" s="159" t="n"/>
      <c r="F7" s="159" t="n"/>
      <c r="G7" s="159" t="n"/>
    </row>
    <row r="8" ht="19.7" customHeight="1" s="148">
      <c r="A8" s="10" t="inlineStr">
        <is>
          <t>申請人甲方簽名:</t>
        </is>
      </c>
      <c r="B8" s="316" t="inlineStr">
        <is>
          <t>客戶名稱(市府表單)</t>
        </is>
      </c>
      <c r="C8" s="162" t="n"/>
      <c r="D8" s="162" t="n"/>
      <c r="E8" s="162" t="n"/>
      <c r="F8" s="159" t="inlineStr">
        <is>
          <t>(親簽)</t>
        </is>
      </c>
      <c r="G8" s="159" t="n"/>
    </row>
    <row r="9" ht="15" customHeight="1" s="148">
      <c r="A9" s="13" t="inlineStr">
        <is>
          <t>預產期(市府表單)</t>
        </is>
      </c>
      <c r="B9" s="150" t="inlineStr">
        <is>
          <t>為甲方預產期，服務時間為甲方出院回府後開始服務計算期滿為止。</t>
        </is>
      </c>
      <c r="C9" s="150" t="n"/>
      <c r="D9" s="150" t="n"/>
      <c r="E9" s="150" t="n"/>
      <c r="F9" s="150" t="n"/>
      <c r="G9" s="150" t="n"/>
    </row>
    <row r="10" ht="38" customHeight="1" s="148">
      <c r="A10" s="14" t="inlineStr">
        <is>
          <t>服務平台派選服務人員:</t>
        </is>
      </c>
      <c r="B10" s="166" t="n"/>
      <c r="C10" s="312" t="inlineStr">
        <is>
          <t>服務人員(綁定好的服務人員)</t>
        </is>
      </c>
      <c r="F10" s="313" t="inlineStr">
        <is>
          <t>服務 (以下簡稱受託人乙方)</t>
        </is>
      </c>
    </row>
    <row r="11" ht="15" customHeight="1" s="148">
      <c r="A11" s="18" t="inlineStr">
        <is>
          <t>第二章 平台責任與權利</t>
        </is>
      </c>
      <c r="B11" s="150" t="n"/>
      <c r="C11" s="170" t="n"/>
      <c r="D11" s="171" t="n"/>
      <c r="E11" s="171" t="n"/>
      <c r="F11" s="150" t="n"/>
      <c r="G11" s="150" t="n"/>
    </row>
    <row r="12" ht="15" customHeight="1" s="148">
      <c r="A12" s="18" t="inlineStr">
        <is>
          <t>1.平台責任</t>
        </is>
      </c>
      <c r="B12" s="150" t="n"/>
      <c r="C12" s="170" t="n"/>
      <c r="D12" s="171" t="n"/>
      <c r="E12" s="171" t="n"/>
      <c r="F12" s="150" t="n"/>
      <c r="G12" s="150" t="n"/>
    </row>
    <row r="13" ht="15" customHeight="1" s="148">
      <c r="A13" s="18" t="inlineStr">
        <is>
          <t>提供合法合規之照顧服務媒合與管理。"</t>
        </is>
      </c>
      <c r="B13" s="150" t="n"/>
      <c r="C13" s="150" t="n"/>
      <c r="D13" s="150" t="n"/>
      <c r="E13" s="150" t="n"/>
      <c r="F13" s="150" t="n"/>
      <c r="G13" s="150" t="n"/>
    </row>
    <row r="14" ht="15" customHeight="1" s="148">
      <c r="A14" s="18" t="inlineStr">
        <is>
          <t>建立服務品質監督機制，包括隨機抽查與定期評估。"</t>
        </is>
      </c>
      <c r="B14" s="150" t="n"/>
      <c r="C14" s="150" t="n"/>
      <c r="D14" s="150" t="n"/>
      <c r="E14" s="150" t="n"/>
      <c r="F14" s="150" t="n"/>
      <c r="G14" s="150" t="n"/>
    </row>
    <row r="15" ht="15" customHeight="1" s="148">
      <c r="A15" s="18" t="inlineStr">
        <is>
          <t>妥善保存並保護委託人及受照顧者之個人資料。"</t>
        </is>
      </c>
      <c r="B15" s="150" t="n"/>
      <c r="C15" s="150" t="n"/>
      <c r="D15" s="150" t="n"/>
      <c r="E15" s="150" t="n"/>
      <c r="F15" s="150" t="n"/>
      <c r="G15" s="150" t="n"/>
    </row>
    <row r="16" ht="15" customHeight="1" s="148">
      <c r="A16" s="18" t="inlineStr">
        <is>
          <t>服務期間提供服務人員意外責任險。"</t>
        </is>
      </c>
      <c r="B16" s="150" t="n"/>
      <c r="C16" s="150" t="n"/>
      <c r="D16" s="150" t="n"/>
      <c r="E16" s="150" t="n"/>
      <c r="F16" s="150" t="n"/>
      <c r="G16" s="150" t="n"/>
    </row>
    <row r="17" ht="15" customHeight="1" s="148">
      <c r="A17" s="18" t="inlineStr">
        <is>
          <t>2.平台權力</t>
        </is>
      </c>
      <c r="B17" s="150" t="n"/>
      <c r="C17" s="150" t="n"/>
      <c r="D17" s="150" t="n"/>
      <c r="E17" s="150" t="n"/>
      <c r="F17" s="150" t="n"/>
      <c r="G17" s="150" t="n"/>
    </row>
    <row r="18" ht="15" customHeight="1" s="148">
      <c r="A18" s="18" t="inlineStr">
        <is>
          <t>得因委託人或受照顧者違反契約而終止服務。"</t>
        </is>
      </c>
      <c r="B18" s="150" t="n"/>
      <c r="C18" s="150" t="n"/>
      <c r="D18" s="150" t="n"/>
      <c r="E18" s="150" t="n"/>
      <c r="F18" s="150" t="n"/>
      <c r="G18" s="150" t="n"/>
    </row>
    <row r="19" ht="15" customHeight="1" s="148">
      <c r="A19" s="18" t="inlineStr">
        <is>
          <t>得依政府規範調整服務內容與流程。"</t>
        </is>
      </c>
      <c r="B19" s="150" t="n"/>
      <c r="C19" s="150" t="n"/>
      <c r="D19" s="150" t="n"/>
      <c r="E19" s="150" t="n"/>
      <c r="F19" s="150" t="n"/>
      <c r="G19" s="150" t="n"/>
    </row>
    <row r="20" ht="15" customHeight="1" s="148">
      <c r="A20" s="18" t="inlineStr">
        <is>
          <t>第三章 委託人與受照顧者</t>
        </is>
      </c>
      <c r="B20" s="150" t="n"/>
      <c r="C20" s="150" t="n"/>
      <c r="D20" s="150" t="n"/>
      <c r="E20" s="150" t="n"/>
      <c r="F20" s="150" t="n"/>
      <c r="G20" s="150" t="n"/>
    </row>
    <row r="21" ht="15" customHeight="1" s="148">
      <c r="A21" s="18" t="inlineStr">
        <is>
          <t>委託人如未滿二十歲且未結婚，應得其法定代理人之同意，契約方生效。"</t>
        </is>
      </c>
      <c r="B21" s="150" t="n"/>
      <c r="C21" s="150" t="n"/>
      <c r="D21" s="150" t="n"/>
      <c r="E21" s="150" t="n"/>
      <c r="F21" s="150" t="n"/>
      <c r="G21" s="150" t="n"/>
    </row>
    <row r="22" ht="15" customHeight="1" s="148">
      <c r="A22" s="18" t="inlineStr">
        <is>
          <t>本服務以照顧新生兒及產婦為主，委託人不得任意增加受照顧人數；受照顧者如需增加，應另行收費。</t>
        </is>
      </c>
      <c r="B22" s="150" t="n"/>
      <c r="C22" s="150" t="n"/>
      <c r="D22" s="150" t="n"/>
      <c r="E22" s="150" t="n"/>
      <c r="F22" s="150" t="n"/>
      <c r="G22" s="150" t="n"/>
    </row>
    <row r="23" ht="15" customHeight="1" s="148">
      <c r="A23" s="18" t="inlineStr">
        <is>
          <t>本契約照顧新生兒:</t>
        </is>
      </c>
      <c r="B23" s="150" t="n"/>
      <c r="C23" s="150" t="n"/>
      <c r="D23" s="150" t="n"/>
      <c r="E23" s="150" t="n"/>
      <c r="F23" s="150" t="n"/>
      <c r="G23" s="150" t="n"/>
    </row>
    <row r="24" ht="15" customHeight="1" s="148">
      <c r="A24" s="21" t="inlineStr">
        <is>
          <t>一、委託日期_</t>
        </is>
      </c>
      <c r="B24" s="22" t="inlineStr">
        <is>
          <t>開始日期(市府表單)</t>
        </is>
      </c>
      <c r="C24" s="23" t="inlineStr">
        <is>
          <t>至</t>
        </is>
      </c>
      <c r="D24" s="22" t="inlineStr">
        <is>
          <t>結束日期(市府表單)</t>
        </is>
      </c>
      <c r="E24" s="24" t="inlineStr">
        <is>
          <t>服務總天數:</t>
        </is>
      </c>
      <c r="F24" s="25" t="inlineStr">
        <is>
          <t>希望服務天數(市府表單)</t>
        </is>
      </c>
      <c r="G24" s="150" t="n"/>
    </row>
    <row r="25" ht="15" customHeight="1" s="148">
      <c r="A25" s="10" t="inlineStr">
        <is>
          <t>二、費用單價:</t>
        </is>
      </c>
      <c r="B25" s="26" t="inlineStr">
        <is>
          <t>雇主單價(訂單系統)</t>
        </is>
      </c>
      <c r="C25" s="150" t="inlineStr">
        <is>
          <t>元</t>
        </is>
      </c>
      <c r="D25" s="150" t="inlineStr">
        <is>
          <t> </t>
        </is>
      </c>
      <c r="E25" s="27" t="inlineStr">
        <is>
          <t>服務總時數:</t>
        </is>
      </c>
      <c r="F25" s="28" t="inlineStr">
        <is>
          <t>時數(市府表單)</t>
        </is>
      </c>
      <c r="G25" s="150" t="n"/>
    </row>
    <row r="26" ht="25.35" customHeight="1" s="148">
      <c r="A26" s="29" t="inlineStr">
        <is>
          <t>★★★依實際服務日期調整 如遇委託人（雇主）提前或延後生產，致原服務人員無法如期提供服務時，本平台有權依實際情況更換服務人員，以確保服務得以持續進行。</t>
        </is>
      </c>
      <c r="G26" s="150" t="n"/>
    </row>
    <row r="27" ht="15" customHeight="1" s="148">
      <c r="A27" s="30" t="inlineStr">
        <is>
          <t>款項</t>
        </is>
      </c>
      <c r="B27" s="30" t="inlineStr">
        <is>
          <t>時數</t>
        </is>
      </c>
      <c r="C27" s="30" t="inlineStr">
        <is>
          <t>匯款日期</t>
        </is>
      </c>
      <c r="D27" s="31" t="inlineStr">
        <is>
          <t>（市民方案每日最高補助4小時每小時NT$300 *雙胞胎每小時NT$450）</t>
        </is>
      </c>
    </row>
    <row r="28" ht="15" customHeight="1" s="148">
      <c r="A28" s="30" t="inlineStr">
        <is>
          <t>市府補助</t>
        </is>
      </c>
      <c r="B28" s="32" t="inlineStr">
        <is>
          <t>補助時數(訂單系統)</t>
        </is>
      </c>
      <c r="C28" s="33" t="inlineStr">
        <is>
          <t>待請領</t>
        </is>
      </c>
      <c r="D28" s="34" t="inlineStr">
        <is>
          <t xml:space="preserve">  每日服務時數:</t>
        </is>
      </c>
      <c r="E28" s="35" t="inlineStr">
        <is>
          <t>服務時段(市府表單)</t>
        </is>
      </c>
    </row>
    <row r="29" ht="15" customHeight="1" s="148">
      <c r="A29" s="36" t="inlineStr">
        <is>
          <t>三、自費服務時數及費用單價:</t>
        </is>
      </c>
      <c r="B29" s="188" t="n"/>
      <c r="C29" s="36" t="inlineStr">
        <is>
          <t>服務時薪費用:</t>
        </is>
      </c>
      <c r="D29" s="38" t="inlineStr">
        <is>
          <t>服務單價(訂單系統)</t>
        </is>
      </c>
      <c r="E29" s="190" t="n"/>
      <c r="F29" s="191" t="n"/>
      <c r="G29" s="191" t="n"/>
    </row>
    <row r="30" ht="15" customHeight="1" s="148">
      <c r="A30" s="166" t="inlineStr">
        <is>
          <t>天數:</t>
        </is>
      </c>
      <c r="B30" s="41">
        <f>F24</f>
        <v/>
      </c>
      <c r="C30" s="166" t="inlineStr">
        <is>
          <t xml:space="preserve"> 請款時數:</t>
        </is>
      </c>
      <c r="D30" s="11">
        <f>F25</f>
        <v/>
      </c>
      <c r="E30" s="42" t="inlineStr">
        <is>
          <t>費用合計:</t>
        </is>
      </c>
      <c r="F30" s="43">
        <f>B38</f>
        <v/>
      </c>
      <c r="G30" s="166" t="inlineStr">
        <is>
          <t>元整</t>
        </is>
      </c>
    </row>
    <row r="31" ht="15" customHeight="1" s="148">
      <c r="A31" s="242" t="inlineStr">
        <is>
          <t>□其他 年節(農曆過年(初一、初二、初三)、端午節、中秋節 休假</t>
        </is>
      </c>
      <c r="B31" s="197" t="n"/>
      <c r="C31" s="197" t="n"/>
      <c r="D31" s="198" t="n"/>
      <c r="E31" s="47" t="inlineStr">
        <is>
          <t>特殊假日:</t>
        </is>
      </c>
      <c r="F31" s="48" t="inlineStr">
        <is>
          <t>特殊休假(訂單系統)</t>
        </is>
      </c>
    </row>
    <row r="32" ht="15" customHeight="1" s="148">
      <c r="A32" s="29" t="inlineStr">
        <is>
          <t>甲方於年節(農曆過年(初一、初二、初三)、端午節、中秋節)仍需服務者，甲方同意需另支付當日薪資1倍予乙方。</t>
        </is>
      </c>
    </row>
    <row r="33" ht="15" customHeight="1" s="148">
      <c r="A33" s="49" t="inlineStr">
        <is>
          <t>款項</t>
        </is>
      </c>
      <c r="B33" s="49" t="inlineStr">
        <is>
          <t>金額</t>
        </is>
      </c>
      <c r="C33" s="50" t="inlineStr">
        <is>
          <t>預計繳款日</t>
        </is>
      </c>
      <c r="D33" s="51" t="inlineStr">
        <is>
          <t xml:space="preserve">市府市府登記案號:  </t>
        </is>
      </c>
      <c r="E33" s="52" t="inlineStr">
        <is>
          <t>政府編號(市府表單)</t>
        </is>
      </c>
      <c r="F33" s="205" t="n"/>
      <c r="G33" s="205" t="n"/>
    </row>
    <row r="34" ht="18" customHeight="1" s="148">
      <c r="A34" s="54" t="inlineStr">
        <is>
          <t>訂金</t>
        </is>
      </c>
      <c r="B34" s="55" t="inlineStr">
        <is>
          <t>訂金(訂單系統)</t>
        </is>
      </c>
      <c r="C34" s="56" t="inlineStr">
        <is>
          <t>預計訂金繳款日(訂單系統)</t>
        </is>
      </c>
      <c r="D34" s="57" t="inlineStr">
        <is>
          <t xml:space="preserve">雇主登記MAIL: </t>
        </is>
      </c>
      <c r="E34" s="309" t="inlineStr">
        <is>
          <t>Email(市府表單)</t>
        </is>
      </c>
    </row>
    <row r="35" ht="15" customHeight="1" s="148">
      <c r="A35" s="54" t="inlineStr">
        <is>
          <t>第一期款</t>
        </is>
      </c>
      <c r="B35" s="55" t="inlineStr">
        <is>
          <t>第一期款(訂單系統)</t>
        </is>
      </c>
      <c r="C35" s="56" t="inlineStr">
        <is>
          <t>預計第一期繳款日(訂單系統)</t>
        </is>
      </c>
      <c r="D35" s="213" t="inlineStr">
        <is>
          <t>本案專屬虛擬帳號：</t>
        </is>
      </c>
      <c r="E35" s="213" t="n"/>
      <c r="F35" s="214" t="n"/>
      <c r="G35" s="214" t="n"/>
    </row>
    <row r="36" ht="15" customHeight="1" s="148">
      <c r="A36" s="54" t="inlineStr">
        <is>
          <t>第二期款</t>
        </is>
      </c>
      <c r="B36" s="55" t="inlineStr">
        <is>
          <t>第二期款(訂單系統)</t>
        </is>
      </c>
      <c r="C36" s="56" t="inlineStr">
        <is>
          <t>預計第二期繳款日(訂單系統)</t>
        </is>
      </c>
      <c r="D36" s="62" t="inlineStr">
        <is>
          <t>案件專屬虛擬帳號(訂單系統)</t>
        </is>
      </c>
      <c r="E36" s="213" t="n"/>
      <c r="F36" s="214" t="n"/>
      <c r="G36" s="214" t="n"/>
    </row>
    <row r="37" ht="15" customHeight="1" s="148">
      <c r="A37" s="63" t="inlineStr">
        <is>
          <t>樓層費用</t>
        </is>
      </c>
      <c r="B37" s="64" t="inlineStr">
        <is>
          <t>樓層費用(訂單系統)</t>
        </is>
      </c>
      <c r="C37" s="56" t="inlineStr">
        <is>
          <t>樓層費預計繳款日(訂單系統)</t>
        </is>
      </c>
      <c r="D37" s="213" t="inlineStr">
        <is>
          <t>新竹市月子照顧服務人員職業工會</t>
        </is>
      </c>
      <c r="E37" s="218" t="n"/>
      <c r="F37" s="218" t="n"/>
      <c r="G37" s="218" t="n"/>
    </row>
    <row r="38" ht="15" customHeight="1" s="148">
      <c r="A38" s="66" t="inlineStr">
        <is>
          <t>總計金額:</t>
        </is>
      </c>
      <c r="B38" s="67" t="inlineStr">
        <is>
          <t>雇主自費合計金額(訂單系統)</t>
        </is>
      </c>
      <c r="C38" s="68" t="inlineStr">
        <is>
          <t> </t>
        </is>
      </c>
      <c r="D38" s="69" t="inlineStr">
        <is>
          <t xml:space="preserve">應匯款項 (逾時未匯款者，乙方可暫停合約。) </t>
        </is>
      </c>
    </row>
    <row r="39" ht="15" customHeight="1" s="148">
      <c r="A39" s="70" t="inlineStr">
        <is>
          <t>服務天數:</t>
        </is>
      </c>
      <c r="B39" s="70">
        <f>IFERROR(VLOOKUP($F$1,'[1]2019ap訂單6-9月'!c$1:AI$1048576,10,0),"- ")</f>
        <v/>
      </c>
      <c r="C39" s="71" t="inlineStr">
        <is>
          <t>補助款退款作業:
服務完成後,工會協助提出申請, 主管單位核發後轉入雇主帳戶</t>
        </is>
      </c>
      <c r="D39" s="72" t="inlineStr">
        <is>
          <t xml:space="preserve">  每日服務時數:</t>
        </is>
      </c>
      <c r="E39" s="11">
        <f>E28</f>
        <v/>
      </c>
    </row>
    <row r="40" ht="15" customHeight="1" s="148">
      <c r="A40" s="30" t="inlineStr">
        <is>
          <t>市府補助金額</t>
        </is>
      </c>
      <c r="B40" s="73" t="inlineStr">
        <is>
          <t>補助薪資(訂單系統)</t>
        </is>
      </c>
      <c r="C40" s="227" t="n"/>
      <c r="D40" s="74" t="inlineStr">
        <is>
          <t>雇主帳號: 銀行代號+分行代號(BECLASS)</t>
        </is>
      </c>
      <c r="E40" s="75" t="inlineStr">
        <is>
          <t>銀行帳號(BECLASS)</t>
        </is>
      </c>
    </row>
    <row r="41" ht="15" customHeight="1" s="148">
      <c r="A41" s="76" t="inlineStr">
        <is>
          <t>備註:</t>
        </is>
      </c>
      <c r="B41" s="77" t="inlineStr">
        <is>
          <t>服務方式(市府表單)</t>
        </is>
      </c>
      <c r="C41" s="78" t="inlineStr">
        <is>
          <t>寶寶資訊(市府表單)</t>
        </is>
      </c>
      <c r="D41" s="79" t="inlineStr">
        <is>
          <t>生產方式(市府表單)</t>
        </is>
      </c>
      <c r="E41" s="79" t="inlineStr">
        <is>
          <t>居住型態(市府表單)</t>
        </is>
      </c>
      <c r="F41" s="80" t="inlineStr">
        <is>
          <t>其他備註(市府表單)</t>
        </is>
      </c>
    </row>
    <row r="42" ht="17.35" customHeight="1" s="148">
      <c r="A42" s="10" t="inlineStr">
        <is>
          <t>四、服務地點</t>
        </is>
      </c>
      <c r="B42" s="235" t="n"/>
      <c r="E42" s="150" t="n"/>
      <c r="F42" s="150" t="n"/>
      <c r="G42" s="150" t="n"/>
    </row>
    <row r="43" ht="15" customHeight="1" s="148">
      <c r="A43" s="82" t="inlineStr">
        <is>
          <t xml:space="preserve">1. 地址：                                                                                                        </t>
        </is>
      </c>
      <c r="B43" s="83" t="inlineStr">
        <is>
          <t>地址(市府表單)</t>
        </is>
      </c>
      <c r="E43" s="150" t="n"/>
      <c r="F43" s="150" t="n"/>
      <c r="G43" s="150" t="n"/>
    </row>
    <row r="44" ht="15" customHeight="1" s="148">
      <c r="A44" s="18" t="inlineStr">
        <is>
          <t>2. 乙方得進入之服務空間：</t>
        </is>
      </c>
      <c r="B44" s="150" t="n"/>
      <c r="C44" s="150" t="n"/>
      <c r="D44" s="150" t="n"/>
      <c r="E44" s="150" t="n"/>
      <c r="F44" s="150" t="n"/>
      <c r="G44" s="150" t="n"/>
    </row>
    <row r="45" ht="15" customHeight="1" s="148">
      <c r="A45" s="84" t="inlineStr">
        <is>
          <t>除產婦及嬰兒房間、廚房、客廳、浴室之外，其餘房間若要進入需事先告知甲方。</t>
        </is>
      </c>
      <c r="B45" s="150" t="n"/>
      <c r="C45" s="150" t="n"/>
      <c r="D45" s="150" t="n"/>
      <c r="E45" s="150" t="n"/>
      <c r="F45" s="150" t="n"/>
      <c r="G45" s="150" t="n"/>
    </row>
    <row r="46" ht="15" customHeight="1" s="148">
      <c r="A46" s="18" t="inlineStr">
        <is>
          <t>五、委託內容</t>
        </is>
      </c>
      <c r="B46" s="150" t="n"/>
      <c r="C46" s="150" t="n"/>
      <c r="D46" s="150" t="n"/>
      <c r="E46" s="150" t="n"/>
      <c r="F46" s="150" t="n"/>
      <c r="G46" s="150" t="n"/>
    </row>
    <row r="47" ht="15" customHeight="1" s="148">
      <c r="A47" s="84" t="inlineStr">
        <is>
          <t>乙方接受甲方委託於指定場所，善盡乙方之職責，依甲方指示提供以下服務：</t>
        </is>
      </c>
      <c r="B47" s="150" t="n"/>
      <c r="C47" s="150" t="n"/>
      <c r="D47" s="150" t="n"/>
      <c r="E47" s="150" t="n"/>
      <c r="F47" s="150" t="n"/>
      <c r="G47" s="150" t="n"/>
    </row>
    <row r="48" ht="15" customHeight="1" s="148">
      <c r="A48" s="85" t="inlineStr">
        <is>
          <t>服務時段(市府表單)</t>
        </is>
      </c>
      <c r="B48" s="240" t="n"/>
      <c r="C48" s="242" t="inlineStr">
        <is>
          <t>(於時間內安排內以下服務內容)</t>
        </is>
      </c>
      <c r="D48" s="197" t="n"/>
      <c r="E48" s="197" t="n"/>
      <c r="F48" s="150" t="n"/>
      <c r="G48" s="150" t="n"/>
    </row>
    <row r="49" ht="15" customHeight="1" s="148">
      <c r="A49" s="87" t="inlineStr">
        <is>
          <t>請提供移動式寶寶可以休息的推車或床,讓服務人員可以隨時注意寶寶</t>
        </is>
      </c>
      <c r="B49" s="240" t="n"/>
      <c r="C49" s="242" t="n"/>
      <c r="D49" s="197" t="n"/>
      <c r="E49" s="197" t="n"/>
      <c r="F49" s="150" t="n"/>
      <c r="G49" s="150" t="n"/>
    </row>
    <row r="50" ht="15" customHeight="1" s="148">
      <c r="A50" s="88" t="inlineStr">
        <is>
          <t>4小時服務工作說明(讓媽咪喘息2-3小時)</t>
        </is>
      </c>
      <c r="G50" s="150" t="n"/>
    </row>
    <row r="51" ht="23.85" customHeight="1" s="148">
      <c r="A51" s="89" t="inlineStr">
        <is>
          <t>9:00-13:00或1:00-17:00 主要負責新生兒照顧餵奶、拍嗝、安撫情緒、更換衣物、尿布、嬰兒沐浴、臍帶護理及月子餐食(1餐) 簡單清潔工作範圍內維持基本的乾淨</t>
        </is>
      </c>
      <c r="G51" s="150" t="n"/>
    </row>
    <row r="52" ht="15" customHeight="1" s="148">
      <c r="A52" s="88" t="inlineStr">
        <is>
          <t>8小時服務工作說明(會依照寶寶作息時間調整餐食及作業時間)</t>
        </is>
      </c>
      <c r="B52" s="240" t="n"/>
      <c r="C52" s="242" t="n"/>
      <c r="D52" s="197" t="n"/>
      <c r="E52" s="197" t="n"/>
      <c r="F52" s="150" t="n"/>
      <c r="G52" s="150" t="n"/>
    </row>
    <row r="53" ht="15" customHeight="1" s="148">
      <c r="A53" s="90" t="inlineStr">
        <is>
          <t xml:space="preserve">一、產婦護理照顧： </t>
        </is>
      </c>
      <c r="B53" s="150" t="n"/>
      <c r="C53" s="246" t="n"/>
      <c r="D53" s="246" t="n"/>
      <c r="E53" s="246" t="n"/>
      <c r="F53" s="150" t="n"/>
      <c r="G53" s="150" t="n"/>
    </row>
    <row r="54" ht="15" customHeight="1" s="148">
      <c r="A54" s="90" t="inlineStr">
        <is>
          <t>(1)照顧產婦及新生嬰兒部分：</t>
        </is>
      </c>
      <c r="B54" s="150" t="n"/>
      <c r="C54" s="246" t="n"/>
      <c r="D54" s="246" t="n"/>
      <c r="E54" s="246" t="n"/>
      <c r="F54" s="150" t="n"/>
      <c r="G54" s="150" t="n"/>
    </row>
    <row r="55" ht="15" customHeight="1" s="148">
      <c r="A55" s="92" t="inlineStr">
        <is>
          <t>選項</t>
        </is>
      </c>
      <c r="B55" s="93" t="inlineStr">
        <is>
          <t>項目</t>
        </is>
      </c>
      <c r="C55" s="94" t="inlineStr">
        <is>
          <t>內容</t>
        </is>
      </c>
      <c r="D55" s="250" t="n"/>
      <c r="E55" s="251" t="n"/>
      <c r="F55" s="150" t="n"/>
      <c r="G55" s="150" t="n"/>
    </row>
    <row r="56" ht="15" customHeight="1" s="148">
      <c r="A56" s="95" t="n">
        <v>1</v>
      </c>
      <c r="B56" s="96">
        <f>IFERROR(VLOOKUP($A56,[1]目錄!$l$5:$N$32,2,0),"")</f>
        <v/>
      </c>
      <c r="C56" s="97">
        <f>IFERROR(VLOOKUP($A56,[1]目錄!$l$5:$N$32,3,0),"")</f>
        <v/>
      </c>
      <c r="D56" s="250" t="n"/>
      <c r="E56" s="251" t="n"/>
      <c r="F56" s="150" t="n"/>
      <c r="G56" s="150" t="n"/>
    </row>
    <row r="57" ht="15" customHeight="1" s="148">
      <c r="A57" s="95" t="n">
        <v>2</v>
      </c>
      <c r="B57" s="96">
        <f>IFERROR(VLOOKUP($A57,[1]目錄!$l$5:$N$32,2,0),"")</f>
        <v/>
      </c>
      <c r="C57" s="97">
        <f>IFERROR(VLOOKUP($A57,[1]目錄!$l$5:$N$32,3,0),"")</f>
        <v/>
      </c>
      <c r="D57" s="250" t="n"/>
      <c r="E57" s="251" t="n"/>
      <c r="F57" s="150" t="n"/>
      <c r="G57" s="150" t="n"/>
    </row>
    <row r="58" ht="15" customHeight="1" s="148">
      <c r="A58" s="95" t="n">
        <v>3</v>
      </c>
      <c r="B58" s="96">
        <f>IFERROR(VLOOKUP($A58,[1]目錄!$l$5:$N$32,2,0),"")</f>
        <v/>
      </c>
      <c r="C58" s="97">
        <f>IFERROR(VLOOKUP($A58,[1]目錄!$l$5:$N$32,3,0),"")</f>
        <v/>
      </c>
      <c r="D58" s="250" t="n"/>
      <c r="E58" s="251" t="n"/>
      <c r="F58" s="150" t="n"/>
      <c r="G58" s="150" t="n"/>
    </row>
    <row r="59" ht="15" customHeight="1" s="148">
      <c r="A59" s="95" t="n">
        <v>4</v>
      </c>
      <c r="B59" s="96">
        <f>IFERROR(VLOOKUP($A59,[1]目錄!$l$5:$N$32,2,0),"")</f>
        <v/>
      </c>
      <c r="C59" s="97">
        <f>IFERROR(VLOOKUP($A59,[1]目錄!$l$5:$N$32,3,0),"")</f>
        <v/>
      </c>
      <c r="D59" s="250" t="n"/>
      <c r="E59" s="251" t="n"/>
      <c r="F59" s="150" t="n"/>
      <c r="G59" s="150" t="n"/>
    </row>
    <row r="60" ht="15" customHeight="1" s="148">
      <c r="A60" s="90" t="inlineStr">
        <is>
          <t>(2)簡單家事清潔</t>
        </is>
      </c>
      <c r="B60" s="150" t="n"/>
      <c r="C60" s="246" t="n"/>
      <c r="D60" s="246" t="n"/>
      <c r="E60" s="246" t="n"/>
      <c r="F60" s="150" t="n"/>
      <c r="G60" s="150" t="n"/>
    </row>
    <row r="61" ht="15" customHeight="1" s="148">
      <c r="A61" s="92" t="inlineStr">
        <is>
          <t>選項</t>
        </is>
      </c>
      <c r="B61" s="93" t="inlineStr">
        <is>
          <t>項目</t>
        </is>
      </c>
      <c r="C61" s="94" t="inlineStr">
        <is>
          <t>內容</t>
        </is>
      </c>
      <c r="D61" s="250" t="n"/>
      <c r="E61" s="251" t="n"/>
      <c r="F61" s="150" t="n"/>
      <c r="G61" s="150" t="n"/>
    </row>
    <row r="62" ht="15" customHeight="1" s="148">
      <c r="A62" s="95" t="n">
        <v>5</v>
      </c>
      <c r="B62" s="96">
        <f>IFERROR(VLOOKUP($A62,[1]目錄!$l$5:$N$32,2,0),"")</f>
        <v/>
      </c>
      <c r="C62" s="97">
        <f>IFERROR(VLOOKUP($A62,[1]目錄!$l$5:$N$32,3,0),"")</f>
        <v/>
      </c>
      <c r="D62" s="250" t="n"/>
      <c r="E62" s="251" t="n"/>
      <c r="F62" s="150" t="n"/>
      <c r="G62" s="150" t="n"/>
    </row>
    <row r="63" ht="15" customHeight="1" s="148">
      <c r="A63" s="95" t="n">
        <v>6</v>
      </c>
      <c r="B63" s="96">
        <f>IFERROR(VLOOKUP($A63,[1]目錄!$l$5:$N$32,2,0),"")</f>
        <v/>
      </c>
      <c r="C63" s="97">
        <f>IFERROR(VLOOKUP($A63,[1]目錄!$l$5:$N$32,3,0),"")</f>
        <v/>
      </c>
      <c r="D63" s="250" t="n"/>
      <c r="E63" s="251" t="n"/>
      <c r="F63" s="150" t="n"/>
      <c r="G63" s="150" t="n"/>
    </row>
    <row r="64" ht="15" customHeight="1" s="148">
      <c r="A64" s="95" t="n">
        <v>7</v>
      </c>
      <c r="B64" s="96">
        <f>IFERROR(VLOOKUP($A64,[1]目錄!$l$5:$N$32,2,0),"")</f>
        <v/>
      </c>
      <c r="C64" s="97">
        <f>IFERROR(VLOOKUP($A64,[1]目錄!$l$5:$N$32,3,0),"")</f>
        <v/>
      </c>
      <c r="D64" s="250" t="n"/>
      <c r="E64" s="251" t="n"/>
      <c r="F64" s="150" t="n"/>
      <c r="G64" s="150" t="n"/>
    </row>
    <row r="65" ht="15" customHeight="1" s="148">
      <c r="A65" s="95" t="n">
        <v>8</v>
      </c>
      <c r="B65" s="96">
        <f>IFERROR(VLOOKUP($A65,[1]目錄!$l$5:$N$32,2,0),"")</f>
        <v/>
      </c>
      <c r="C65" s="97">
        <f>IFERROR(VLOOKUP($A65,[1]目錄!$l$5:$N$32,3,0),"")</f>
        <v/>
      </c>
      <c r="D65" s="250" t="n"/>
      <c r="E65" s="251" t="n"/>
      <c r="F65" s="150" t="n"/>
      <c r="G65" s="150" t="n"/>
    </row>
    <row r="66" ht="25.35" customHeight="1" s="148">
      <c r="A66" s="98" t="inlineStr">
        <is>
          <t>爐具於使用後保持不油膩乾淨為主，乙方下班前完成餐具清洗，廚餘部分可協助整理)
★ 浴室清潔：維持浴室地板乾淨、馬桶簡易刷洗(不包含牆壁、洗臉台與浴缸)</t>
        </is>
      </c>
      <c r="B66" s="255" t="n"/>
      <c r="C66" s="255" t="n"/>
      <c r="D66" s="255" t="n"/>
      <c r="E66" s="255" t="n"/>
      <c r="F66" s="256" t="n"/>
      <c r="G66" s="256" t="n"/>
    </row>
    <row r="67" ht="15" customHeight="1" s="148">
      <c r="A67" s="90" t="inlineStr">
        <is>
          <t>(3)衣物清潔</t>
        </is>
      </c>
      <c r="B67" s="150" t="n"/>
      <c r="C67" s="246" t="n"/>
      <c r="D67" s="246" t="n"/>
      <c r="E67" s="246" t="n"/>
      <c r="F67" s="150" t="n"/>
      <c r="G67" s="150" t="n"/>
    </row>
    <row r="68" ht="15" customHeight="1" s="148">
      <c r="A68" s="92" t="inlineStr">
        <is>
          <t>選項</t>
        </is>
      </c>
      <c r="B68" s="99" t="inlineStr">
        <is>
          <t>項目</t>
        </is>
      </c>
      <c r="C68" s="99" t="inlineStr">
        <is>
          <t>內容</t>
        </is>
      </c>
      <c r="D68" s="250" t="n"/>
      <c r="E68" s="251" t="n"/>
      <c r="F68" s="150" t="n"/>
      <c r="G68" s="150" t="n"/>
    </row>
    <row r="69" ht="15" customHeight="1" s="148">
      <c r="A69" s="100" t="n">
        <v>9</v>
      </c>
      <c r="B69" s="96">
        <f>IFERROR(VLOOKUP($A69,[1]目錄!$l$5:$N$32,2,0),"")</f>
        <v/>
      </c>
      <c r="C69" s="97">
        <f>IFERROR(VLOOKUP($A69,[1]目錄!$l$5:$N$32,3,0),"")</f>
        <v/>
      </c>
      <c r="D69" s="250" t="n"/>
      <c r="E69" s="251" t="n"/>
      <c r="F69" s="150" t="n"/>
      <c r="G69" s="150" t="n"/>
    </row>
    <row r="70" ht="15" customHeight="1" s="148">
      <c r="A70" s="100" t="n">
        <v>10</v>
      </c>
      <c r="B70" s="96">
        <f>IFERROR(VLOOKUP($A70,[1]目錄!$l$5:$N$32,2,0),"")</f>
        <v/>
      </c>
      <c r="C70" s="97">
        <f>IFERROR(VLOOKUP($A70,[1]目錄!$l$5:$N$32,3,0),"")</f>
        <v/>
      </c>
      <c r="D70" s="250" t="n"/>
      <c r="E70" s="251" t="n"/>
      <c r="F70" s="150" t="n"/>
      <c r="G70" s="150" t="n"/>
    </row>
    <row r="71" ht="15" customHeight="1" s="148">
      <c r="A71" s="256" t="inlineStr">
        <is>
          <t>(4)餐食服務</t>
        </is>
      </c>
      <c r="B71" s="259" t="n"/>
      <c r="C71" s="260" t="n"/>
      <c r="D71" s="260" t="n"/>
      <c r="E71" s="260" t="n"/>
      <c r="F71" s="150" t="n"/>
      <c r="G71" s="150" t="n"/>
    </row>
    <row r="72" ht="15" customHeight="1" s="148">
      <c r="A72" s="92" t="inlineStr">
        <is>
          <t>選項</t>
        </is>
      </c>
      <c r="B72" s="99" t="inlineStr">
        <is>
          <t>項目</t>
        </is>
      </c>
      <c r="C72" s="99" t="inlineStr">
        <is>
          <t>內容</t>
        </is>
      </c>
      <c r="D72" s="250" t="n"/>
      <c r="E72" s="251" t="n"/>
      <c r="F72" s="150" t="n"/>
      <c r="G72" s="150" t="n"/>
    </row>
    <row r="73" ht="15" customHeight="1" s="148">
      <c r="A73" s="100" t="n">
        <v>11</v>
      </c>
      <c r="B73" s="96">
        <f>IFERROR(VLOOKUP($A73,[1]目錄!$l$5:$N$32,2,0),"")</f>
        <v/>
      </c>
      <c r="C73" s="97">
        <f>IFERROR(VLOOKUP($A73,[1]目錄!$l$5:$N$32,3,0),"")</f>
        <v/>
      </c>
      <c r="D73" s="250" t="n"/>
      <c r="E73" s="251" t="n"/>
      <c r="F73" s="150" t="n"/>
      <c r="G73" s="150" t="n"/>
    </row>
    <row r="74" ht="15" customHeight="1" s="148">
      <c r="A74" s="100" t="n">
        <v>12</v>
      </c>
      <c r="B74" s="96">
        <f>IFERROR(VLOOKUP($A74,[1]目錄!$l$5:$N$32,2,0),"")</f>
        <v/>
      </c>
      <c r="C74" s="97">
        <f>IFERROR(VLOOKUP($A74,[1]目錄!$l$5:$N$32,3,0),"")</f>
        <v/>
      </c>
      <c r="D74" s="250" t="n"/>
      <c r="E74" s="251" t="n"/>
      <c r="F74" s="150" t="n"/>
      <c r="G74" s="150" t="n"/>
    </row>
    <row r="75" ht="15" customHeight="1" s="148">
      <c r="A75" s="100" t="n">
        <v>13</v>
      </c>
      <c r="B75" s="96">
        <f>IFERROR(VLOOKUP($A75,[1]目錄!$l$5:$N$32,2,0),"")</f>
        <v/>
      </c>
      <c r="C75" s="97">
        <f>IFERROR(VLOOKUP($A75,[1]目錄!$l$5:$N$32,3,0),"")</f>
        <v/>
      </c>
      <c r="D75" s="250" t="n"/>
      <c r="E75" s="251" t="n"/>
      <c r="F75" s="150" t="n"/>
      <c r="G75" s="150" t="n"/>
    </row>
    <row r="76" ht="15" customHeight="1" s="148">
      <c r="A76" s="100" t="n">
        <v>14</v>
      </c>
      <c r="B76" s="96">
        <f>IFERROR(VLOOKUP($A76,[1]目錄!$l$5:$N$32,2,0),"")</f>
        <v/>
      </c>
      <c r="C76" s="97">
        <f>IFERROR(VLOOKUP($A76,[1]目錄!$l$5:$N$32,3,0),"")</f>
        <v/>
      </c>
      <c r="D76" s="250" t="n"/>
      <c r="E76" s="251" t="n"/>
      <c r="F76" s="150" t="n"/>
      <c r="G76" s="150" t="n"/>
    </row>
    <row r="77" ht="15" customHeight="1" s="148">
      <c r="A77" s="100" t="n">
        <v>15</v>
      </c>
      <c r="B77" s="96">
        <f>IFERROR(VLOOKUP($A77,[1]目錄!$l$5:$N$32,2,0),"")</f>
        <v/>
      </c>
      <c r="C77" s="97">
        <f>IFERROR(VLOOKUP($A77,[1]目錄!$l$5:$N$32,3,0),"")</f>
        <v/>
      </c>
      <c r="D77" s="250" t="n"/>
      <c r="E77" s="251" t="n"/>
      <c r="F77" s="150" t="n"/>
      <c r="G77" s="150" t="n"/>
    </row>
    <row r="78" ht="15" customHeight="1" s="148">
      <c r="A78" s="256" t="inlineStr">
        <is>
          <t>(5)代購服務</t>
        </is>
      </c>
      <c r="B78" s="260" t="n"/>
      <c r="C78" s="260" t="n"/>
      <c r="D78" s="260" t="n"/>
      <c r="E78" s="150" t="n"/>
      <c r="F78" s="150" t="n"/>
      <c r="G78" s="150" t="n"/>
    </row>
    <row r="79" ht="15" customHeight="1" s="148">
      <c r="A79" s="92" t="inlineStr">
        <is>
          <t>選項</t>
        </is>
      </c>
      <c r="B79" s="99" t="inlineStr">
        <is>
          <t>項目</t>
        </is>
      </c>
      <c r="C79" s="103" t="inlineStr">
        <is>
          <t>內容</t>
        </is>
      </c>
      <c r="D79" s="250" t="n"/>
      <c r="E79" s="251" t="n"/>
      <c r="F79" s="150" t="n"/>
      <c r="G79" s="150" t="n"/>
    </row>
    <row r="80" ht="15" customHeight="1" s="148">
      <c r="A80" s="100" t="n">
        <v>16</v>
      </c>
      <c r="B80" s="96">
        <f>IFERROR(VLOOKUP($A80,[1]目錄!$l$5:$N$32,2,0),"")</f>
        <v/>
      </c>
      <c r="C80" s="97">
        <f>IFERROR(VLOOKUP($A80,[1]目錄!$l$5:$N$32,3,0),"")</f>
        <v/>
      </c>
      <c r="D80" s="250" t="n"/>
      <c r="E80" s="251" t="n"/>
      <c r="F80" s="150" t="n"/>
      <c r="G80" s="150" t="n"/>
    </row>
    <row r="81" ht="15" customHeight="1" s="148">
      <c r="A81" s="100" t="n">
        <v>17</v>
      </c>
      <c r="B81" s="96">
        <f>IFERROR(VLOOKUP($A81,[1]目錄!$l$5:$N$32,2,0),"")</f>
        <v/>
      </c>
      <c r="C81" s="97">
        <f>IFERROR(VLOOKUP($A81,[1]目錄!$l$5:$N$32,3,0),"")</f>
        <v/>
      </c>
      <c r="D81" s="250" t="n"/>
      <c r="E81" s="251" t="n"/>
      <c r="F81" s="150" t="n"/>
      <c r="G81" s="150" t="n"/>
    </row>
    <row r="82" ht="15" customHeight="1" s="148">
      <c r="A82" s="100" t="n">
        <v>18</v>
      </c>
      <c r="B82" s="96">
        <f>IFERROR(VLOOKUP($A82,[1]目錄!$l$5:$N$32,2,0),"")</f>
        <v/>
      </c>
      <c r="C82" s="97">
        <f>IFERROR(VLOOKUP($A82,[1]目錄!$l$5:$N$32,3,0),"")</f>
        <v/>
      </c>
      <c r="D82" s="250" t="n"/>
      <c r="E82" s="251" t="n"/>
      <c r="F82" s="150" t="n"/>
      <c r="G82" s="150" t="n"/>
    </row>
    <row r="83" ht="15" customHeight="1" s="148">
      <c r="A83" s="100" t="n">
        <v>19</v>
      </c>
      <c r="B83" s="96">
        <f>IFERROR(VLOOKUP($A83,[1]目錄!$l$5:$N$32,2,0),"")</f>
        <v/>
      </c>
      <c r="C83" s="97">
        <f>IFERROR(VLOOKUP($A83,[1]目錄!$l$5:$N$32,3,0),"")</f>
        <v/>
      </c>
      <c r="D83" s="250" t="n"/>
      <c r="E83" s="251" t="n"/>
      <c r="F83" s="150" t="n"/>
      <c r="G83" s="150" t="n"/>
    </row>
    <row r="84" ht="15" customHeight="1" s="148">
      <c r="A84" s="262" t="n"/>
      <c r="B84" s="263" t="n"/>
      <c r="C84" s="264" t="n"/>
      <c r="D84" s="264" t="n"/>
      <c r="E84" s="264" t="n"/>
      <c r="F84" s="150" t="n"/>
      <c r="G84" s="150" t="n"/>
    </row>
    <row r="85" ht="17.15" customHeight="1" s="148">
      <c r="A85" s="107" t="inlineStr">
        <is>
          <t>雙胞胎4-8小時服務工作說明</t>
        </is>
      </c>
      <c r="B85" s="266" t="n"/>
      <c r="C85" s="266" t="n"/>
      <c r="D85" s="266" t="n"/>
      <c r="E85" s="266" t="n"/>
      <c r="F85" s="266" t="n"/>
      <c r="G85" s="266" t="n"/>
    </row>
    <row r="86" ht="15" customHeight="1" s="148">
      <c r="A86" s="109" t="inlineStr">
        <is>
          <t>請提供移動式寶寶可以休息的推車或床,讓服務人員可以隨時注意寶寶</t>
        </is>
      </c>
      <c r="B86" s="266" t="n"/>
      <c r="C86" s="266" t="n"/>
      <c r="D86" s="266" t="n"/>
      <c r="E86" s="266" t="n"/>
      <c r="F86" s="266" t="n"/>
      <c r="G86" s="266" t="n"/>
    </row>
    <row r="87" ht="15" customHeight="1" s="148">
      <c r="A87" s="110" t="inlineStr">
        <is>
          <t>主要負責新生兒照顧餵奶、拍嗝、安撫情緒、更換衣物、尿布、嬰兒沐浴、臍帶護理(8小時服務如有其他照顧者可提供1次餐食)</t>
        </is>
      </c>
      <c r="G87" s="266" t="n"/>
    </row>
    <row r="88" ht="15" customHeight="1" s="148">
      <c r="A88" s="111" t="inlineStr">
        <is>
          <t xml:space="preserve">一、產婦護理照顧： </t>
        </is>
      </c>
      <c r="C88" s="270" t="n"/>
      <c r="E88" s="271" t="n"/>
      <c r="F88" s="271" t="n"/>
      <c r="G88" s="271" t="n"/>
    </row>
    <row r="89" ht="15" customHeight="1" s="148">
      <c r="A89" s="111" t="inlineStr">
        <is>
          <t>(1)照顧產婦及新生嬰兒部分：</t>
        </is>
      </c>
    </row>
    <row r="90" ht="15" customHeight="1" s="148">
      <c r="A90" s="114" t="inlineStr">
        <is>
          <t>選項</t>
        </is>
      </c>
      <c r="B90" s="115" t="inlineStr">
        <is>
          <t>項目</t>
        </is>
      </c>
      <c r="C90" s="116" t="inlineStr">
        <is>
          <t>內容</t>
        </is>
      </c>
      <c r="D90" s="250" t="n"/>
      <c r="E90" s="250" t="n"/>
      <c r="F90" s="250" t="n"/>
      <c r="G90" s="251" t="n"/>
    </row>
    <row r="91" ht="15" customHeight="1" s="148">
      <c r="A91" s="117" t="n">
        <v>1</v>
      </c>
      <c r="B91" s="118" t="inlineStr">
        <is>
          <t>新生兒照護*2</t>
        </is>
      </c>
      <c r="C91" s="119" t="inlineStr">
        <is>
          <t>新生兒照護、嬰兒沐浴、臍帶護理</t>
        </is>
      </c>
      <c r="D91" s="250" t="n"/>
      <c r="E91" s="250" t="n"/>
      <c r="F91" s="250" t="n"/>
      <c r="G91" s="251" t="n"/>
    </row>
    <row r="92" ht="15" customHeight="1" s="148">
      <c r="A92" s="117" t="n">
        <v>2</v>
      </c>
      <c r="B92" s="118" t="inlineStr">
        <is>
          <t>新生兒照顧*2</t>
        </is>
      </c>
      <c r="C92" s="119" t="inlineStr">
        <is>
          <t>餵奶、拍嗝、安撫情緒、更換衣物、尿布</t>
        </is>
      </c>
      <c r="D92" s="250" t="n"/>
      <c r="E92" s="250" t="n"/>
      <c r="F92" s="250" t="n"/>
      <c r="G92" s="251" t="n"/>
    </row>
    <row r="93" ht="15" customHeight="1" s="148">
      <c r="A93" s="117" t="n">
        <v>3</v>
      </c>
      <c r="B93" s="118" t="inlineStr">
        <is>
          <t>衛生管理*2</t>
        </is>
      </c>
      <c r="C93" s="119" t="inlineStr">
        <is>
          <t>奶瓶消毒、清潔</t>
        </is>
      </c>
      <c r="D93" s="250" t="n"/>
      <c r="E93" s="250" t="n"/>
      <c r="F93" s="250" t="n"/>
      <c r="G93" s="251" t="n"/>
    </row>
    <row r="94" ht="15" customHeight="1" s="148">
      <c r="A94" s="117" t="n">
        <v>4</v>
      </c>
      <c r="B94" s="118" t="inlineStr">
        <is>
          <t>產婦護理</t>
        </is>
      </c>
      <c r="C94" s="119" t="inlineStr">
        <is>
          <t>協助產婦子宮按摩/疏乳</t>
        </is>
      </c>
      <c r="D94" s="250" t="n"/>
      <c r="E94" s="250" t="n"/>
      <c r="F94" s="250" t="n"/>
      <c r="G94" s="251" t="n"/>
    </row>
    <row r="95" ht="15" customHeight="1" s="148">
      <c r="A95" s="111" t="inlineStr">
        <is>
          <t>(2)衣物清潔</t>
        </is>
      </c>
      <c r="B95" s="270" t="n"/>
      <c r="D95" s="271" t="n"/>
      <c r="F95" s="271" t="n"/>
      <c r="G95" s="271" t="n"/>
    </row>
    <row r="96" ht="15" customHeight="1" s="148">
      <c r="A96" s="114" t="inlineStr">
        <is>
          <t>選項</t>
        </is>
      </c>
      <c r="B96" s="120" t="inlineStr">
        <is>
          <t>項目</t>
        </is>
      </c>
      <c r="C96" s="121" t="inlineStr">
        <is>
          <t>內容</t>
        </is>
      </c>
      <c r="D96" s="250" t="n"/>
      <c r="E96" s="250" t="n"/>
      <c r="F96" s="250" t="n"/>
      <c r="G96" s="251" t="n"/>
    </row>
    <row r="97" ht="15" customHeight="1" s="148">
      <c r="A97" s="122" t="n">
        <v>9</v>
      </c>
      <c r="B97" s="118" t="inlineStr">
        <is>
          <t>新生兒衣物*2</t>
        </is>
      </c>
      <c r="C97" s="123" t="inlineStr">
        <is>
          <t>紗布衣、紗布巾貼身衣物以手洗為主(30*30公分(含)</t>
        </is>
      </c>
      <c r="D97" s="250" t="n"/>
      <c r="E97" s="250" t="n"/>
      <c r="F97" s="250" t="n"/>
      <c r="G97" s="251" t="n"/>
    </row>
    <row r="98" ht="15" customHeight="1" s="148">
      <c r="A98" s="124" t="inlineStr">
        <is>
          <t>(3)餐食服務</t>
        </is>
      </c>
      <c r="B98" s="282" t="n"/>
      <c r="D98" s="282" t="n"/>
      <c r="F98" s="282" t="n"/>
      <c r="G98" s="282" t="n"/>
    </row>
    <row r="99" ht="15" customHeight="1" s="148">
      <c r="A99" s="114" t="inlineStr">
        <is>
          <t>選項</t>
        </is>
      </c>
      <c r="B99" s="120" t="inlineStr">
        <is>
          <t>項目</t>
        </is>
      </c>
      <c r="C99" s="121" t="inlineStr">
        <is>
          <t>內容</t>
        </is>
      </c>
      <c r="D99" s="250" t="n"/>
      <c r="E99" s="250" t="n"/>
      <c r="F99" s="250" t="n"/>
      <c r="G99" s="251" t="n"/>
    </row>
    <row r="100" ht="15" customHeight="1" s="148">
      <c r="A100" s="122" t="n">
        <v>11</v>
      </c>
      <c r="B100" s="118" t="inlineStr">
        <is>
          <t>餐點提供</t>
        </is>
      </c>
      <c r="C100" s="119" t="inlineStr">
        <is>
          <t>4-8小時服務一日一餐（午或晚）</t>
        </is>
      </c>
      <c r="D100" s="250" t="n"/>
      <c r="E100" s="250" t="n"/>
      <c r="F100" s="250" t="n"/>
      <c r="G100" s="251" t="n"/>
    </row>
    <row r="101" ht="15" customHeight="1" s="148">
      <c r="A101" s="122" t="n">
        <v>12</v>
      </c>
      <c r="B101" s="118" t="inlineStr">
        <is>
          <t>飲食偏好</t>
        </is>
      </c>
      <c r="C101" s="119" t="inlineStr">
        <is>
          <t>可依甲方需求準備,4小時無甜品製作</t>
        </is>
      </c>
      <c r="D101" s="250" t="n"/>
      <c r="E101" s="250" t="n"/>
      <c r="F101" s="250" t="n"/>
      <c r="G101" s="251" t="n"/>
    </row>
    <row r="102" ht="15" customHeight="1" s="148">
      <c r="A102" s="122" t="n">
        <v>13</v>
      </c>
      <c r="B102" s="118" t="inlineStr">
        <is>
          <t>基本飲品</t>
        </is>
      </c>
      <c r="C102" s="119" t="inlineStr">
        <is>
          <t>養肝茶、杜仲茶每日熬煮一次</t>
        </is>
      </c>
      <c r="D102" s="250" t="n"/>
      <c r="E102" s="250" t="n"/>
      <c r="F102" s="250" t="n"/>
      <c r="G102" s="251" t="n"/>
    </row>
    <row r="103" ht="15" customHeight="1" s="148">
      <c r="A103" s="122" t="n">
        <v>14</v>
      </c>
      <c r="B103" s="118" t="inlineStr">
        <is>
          <t>基本湯品</t>
        </is>
      </c>
      <c r="C103" s="119" t="inlineStr">
        <is>
          <t>四物、八珍、十全每日熬煮一次</t>
        </is>
      </c>
      <c r="D103" s="250" t="n"/>
      <c r="E103" s="250" t="n"/>
      <c r="F103" s="250" t="n"/>
      <c r="G103" s="251" t="n"/>
    </row>
    <row r="104" ht="15" customHeight="1" s="148">
      <c r="A104" s="122" t="n">
        <v>15</v>
      </c>
      <c r="B104" s="118" t="inlineStr">
        <is>
          <t>藥膳料理</t>
        </is>
      </c>
      <c r="C104" s="119" t="inlineStr">
        <is>
          <t>每日烹煮以產婦月餐(三菜1湯)為主</t>
        </is>
      </c>
      <c r="D104" s="250" t="n"/>
      <c r="E104" s="250" t="n"/>
      <c r="F104" s="250" t="n"/>
      <c r="G104" s="251" t="n"/>
    </row>
    <row r="105" ht="15" customHeight="1" s="148">
      <c r="A105" s="282" t="n"/>
      <c r="B105" s="282" t="n"/>
      <c r="C105" s="282" t="n"/>
      <c r="D105" s="282" t="n"/>
      <c r="E105" s="282" t="n"/>
      <c r="F105" s="282" t="n"/>
      <c r="G105" s="282" t="n"/>
    </row>
    <row r="106" ht="25.35" customHeight="1" s="148">
      <c r="A106" s="287" t="inlineStr">
        <is>
          <t>2.乙方照顧受照顧者時，對於孩童之保護教養有關事項，應依甲方指示，同時應向甲方告知受照顧者於乙方照顧期間所發生之重要事故或異常現象。</t>
        </is>
      </c>
    </row>
    <row r="107" ht="15" customHeight="1" s="148">
      <c r="A107" s="287" t="inlineStr">
        <is>
          <t>3.乙方不得將甲方及其家人隱私透露於他人所知，但為維護兒童最佳利益及盡法律責任所必要者，不在此限。</t>
        </is>
      </c>
    </row>
    <row r="108" ht="15" customHeight="1" s="148">
      <c r="A108" s="84" t="inlineStr">
        <is>
          <t>4.乙方未經甲方同意不得無故將受照顧者帶離開照顧地點。</t>
        </is>
      </c>
      <c r="B108" s="284" t="n"/>
      <c r="C108" s="284" t="n"/>
      <c r="D108" s="284" t="n"/>
      <c r="E108" s="284" t="n"/>
      <c r="F108" s="284" t="n"/>
      <c r="G108" s="284" t="n"/>
    </row>
    <row r="109" ht="15" customHeight="1" s="148">
      <c r="A109" s="84" t="inlineStr">
        <is>
          <t>5.乙方未經甲方允許不得於工作時間聊天或處理私人事務及另帶他人至甲方家中。</t>
        </is>
      </c>
      <c r="B109" s="284" t="n"/>
      <c r="C109" s="284" t="n"/>
      <c r="D109" s="284" t="n"/>
      <c r="E109" s="284" t="n"/>
      <c r="F109" s="284" t="n"/>
      <c r="G109" s="284" t="n"/>
    </row>
    <row r="110" ht="15" customHeight="1" s="148">
      <c r="A110" s="287" t="inlineStr">
        <is>
          <t>6.乙方未經甲方允許不得動用甲方家中非用於幼兒照顧之物品及進入甲方家中非幼兒照顧之空間。</t>
        </is>
      </c>
    </row>
    <row r="111" ht="15" customHeight="1" s="148">
      <c r="A111" s="84" t="inlineStr">
        <is>
          <t>7.乙方應維持照顧空間原有樣貌。</t>
        </is>
      </c>
      <c r="B111" s="284" t="n"/>
      <c r="C111" s="284" t="n"/>
      <c r="D111" s="284" t="n"/>
      <c r="E111" s="284" t="n"/>
      <c r="F111" s="284" t="n"/>
      <c r="G111" s="284" t="n"/>
    </row>
    <row r="112" ht="15" customHeight="1" s="148">
      <c r="A112" s="84" t="inlineStr">
        <is>
          <t>8.乙方保證無以下事項：</t>
        </is>
      </c>
      <c r="B112" s="284" t="n"/>
      <c r="C112" s="284" t="n"/>
      <c r="D112" s="284" t="n"/>
      <c r="E112" s="284" t="n"/>
      <c r="F112" s="284" t="n"/>
      <c r="G112" s="284" t="n"/>
    </row>
    <row r="113" ht="15" customHeight="1" s="148">
      <c r="A113" s="84" t="inlineStr">
        <is>
          <t>★★虐待兒童及詐欺、竊盜等前科★★傳染性疾病★★躁鬱症等精神疾病</t>
        </is>
      </c>
      <c r="E113" s="150" t="n"/>
      <c r="F113" s="150" t="n"/>
      <c r="G113" s="150" t="n"/>
    </row>
    <row r="114" ht="15" customHeight="1" s="148">
      <c r="A114" s="84" t="inlineStr">
        <is>
          <t>9.上述事項如應告知而未告知者，造成甲方及孩童發生任何損害，概由服務人員負責。</t>
        </is>
      </c>
    </row>
    <row r="115" ht="15" customHeight="1" s="148">
      <c r="A115" s="287" t="inlineStr">
        <is>
          <t>10.乙方(服務人員)若在照顧期間，如有爭議事件，經專業第三方認定為乙方缺失，乙方(服務人員)對委託人應負賠償責任。</t>
        </is>
      </c>
    </row>
    <row r="116" ht="25.35" customHeight="1" s="148">
      <c r="A116" s="287" t="inlineStr">
        <is>
          <t>11.服務人員應親自照顧受託母嬰，如經甲方(委託人)同意、或有不得已之事由者，得由第三人代為照顧。服務人員就該第三人之行為 ，與就本身之行為，負同一責任。第三人代為照顧受託孩童期間，甲方(委託人)並得直接請求第三人履行對受託母嬰之照顧義務。</t>
        </is>
      </c>
    </row>
    <row r="117" ht="25.35" customHeight="1" s="148">
      <c r="A117" s="287" t="inlineStr">
        <is>
          <t>12.委託人責任:委託人應負責服務地點所需設備、環境及場地之安全，並應指導服務人員正確使用方式。委託人（甲方）平時應善盡設施設備之維護責任，以確保居家安全。</t>
        </is>
      </c>
    </row>
    <row r="118" ht="25.35" customHeight="1" s="148">
      <c r="A118" s="29" t="inlineStr">
        <is>
          <t>13.電器設備及電線線路…等可能影響居家安全，因此設施設備的維護極為重要。平時甲方(委託人)應善盡維護的責任，服務人員於使用時需小心謹慎，避免損壞。</t>
        </is>
      </c>
    </row>
    <row r="119" ht="25.35" customHeight="1" s="148">
      <c r="A119" s="287" t="inlineStr">
        <is>
          <t>14.服務人員責任:服務人員於使用委託人提供之設備時，應小心謹慎，妥善照顧並避免損壞。委託人應負責服務地點所需設備、環境及場地的安全並指導使用方式，服務人員應負妥善照顧之責任。</t>
        </is>
      </c>
    </row>
    <row r="120" ht="15" customHeight="1" s="148">
      <c r="A120" s="128" t="inlineStr">
        <is>
          <t>物品損壞爭議處理</t>
        </is>
      </c>
      <c r="B120" s="286" t="n"/>
      <c r="C120" s="287" t="n"/>
      <c r="D120" s="287" t="n"/>
      <c r="E120" s="287" t="n"/>
      <c r="F120" s="287" t="n"/>
      <c r="G120" s="287" t="n"/>
    </row>
    <row r="121" ht="15" customHeight="1" s="148">
      <c r="A121" s="129" t="inlineStr">
        <is>
          <t>項目</t>
        </is>
      </c>
      <c r="B121" s="130" t="inlineStr">
        <is>
          <t>處理方式</t>
        </is>
      </c>
      <c r="C121" s="250" t="n"/>
      <c r="D121" s="250" t="n"/>
      <c r="E121" s="250" t="n"/>
      <c r="F121" s="250" t="n"/>
      <c r="G121" s="251" t="n"/>
    </row>
    <row r="122" ht="15" customHeight="1" s="148">
      <c r="A122" s="129" t="inlineStr">
        <is>
          <t>購買證明</t>
        </is>
      </c>
      <c r="B122" s="130" t="inlineStr">
        <is>
          <t>委託人需提供購買證明及金額。</t>
        </is>
      </c>
      <c r="C122" s="250" t="n"/>
      <c r="D122" s="250" t="n"/>
      <c r="E122" s="250" t="n"/>
      <c r="F122" s="250" t="n"/>
      <c r="G122" s="251" t="n"/>
    </row>
    <row r="123" ht="15" customHeight="1" s="148">
      <c r="A123" s="129" t="inlineStr">
        <is>
          <t>折舊計算</t>
        </is>
      </c>
      <c r="B123" s="97" t="inlineStr">
        <is>
          <t>若服務人員請假(除不可抗拒之情事)應於提前7日告知甲方及工會甲方如需代班人員工會調派替代服務人員</t>
        </is>
      </c>
      <c r="C123" s="250" t="n"/>
      <c r="D123" s="250" t="n"/>
      <c r="E123" s="250" t="n"/>
      <c r="F123" s="250" t="n"/>
      <c r="G123" s="251" t="n"/>
    </row>
    <row r="124" ht="15" customHeight="1" s="148">
      <c r="A124" s="129" t="inlineStr">
        <is>
          <t>協議處理</t>
        </is>
      </c>
      <c r="B124" s="130" t="inlineStr">
        <is>
          <t>按照設備使用期限及折舊金額計算。</t>
        </is>
      </c>
      <c r="C124" s="250" t="n"/>
      <c r="D124" s="250" t="n"/>
      <c r="E124" s="250" t="n"/>
      <c r="F124" s="250" t="n"/>
      <c r="G124" s="251" t="n"/>
    </row>
    <row r="125" ht="15" customHeight="1" s="148">
      <c r="A125" s="129" t="inlineStr">
        <is>
          <t>特殊規範</t>
        </is>
      </c>
      <c r="B125" s="130" t="inlineStr">
        <is>
          <t>雙方依據上述資料協議賠償事宜。</t>
        </is>
      </c>
      <c r="C125" s="250" t="n"/>
      <c r="D125" s="250" t="n"/>
      <c r="E125" s="250" t="n"/>
      <c r="F125" s="250" t="n"/>
      <c r="G125" s="251" t="n"/>
    </row>
    <row r="126" ht="15" customHeight="1" s="148">
      <c r="A126" s="129" t="inlineStr">
        <is>
          <t>爭議解決</t>
        </is>
      </c>
      <c r="B126" s="97" t="inlineStr">
        <is>
          <t>若因服務人員使用不當導致損壞，依折舊後價格 1/3–2/3 賠償；若為正常使用下毀損，則無須賠償。</t>
        </is>
      </c>
      <c r="C126" s="250" t="n"/>
      <c r="D126" s="250" t="n"/>
      <c r="E126" s="250" t="n"/>
      <c r="F126" s="250" t="n"/>
      <c r="G126" s="251" t="n"/>
    </row>
    <row r="127" ht="15" customHeight="1" s="148">
      <c r="A127" s="129" t="inlineStr">
        <is>
          <t>甲方責任(雇主):</t>
        </is>
      </c>
      <c r="B127" s="130" t="inlineStr">
        <is>
          <t>如有爭議，甲乙雙方逕送新竹市調解委員會調解。</t>
        </is>
      </c>
      <c r="C127" s="250" t="n"/>
      <c r="D127" s="250" t="n"/>
      <c r="E127" s="250" t="n"/>
      <c r="F127" s="250" t="n"/>
      <c r="G127" s="251" t="n"/>
    </row>
    <row r="128" ht="15" customHeight="1" s="148">
      <c r="A128" s="131" t="inlineStr">
        <is>
          <t>甲方責任(雇主):</t>
        </is>
      </c>
      <c r="B128" s="291" t="n"/>
      <c r="C128" s="291" t="n"/>
      <c r="D128" s="291" t="n"/>
      <c r="E128" s="291" t="n"/>
      <c r="F128" s="291" t="n"/>
      <c r="G128" s="291" t="n"/>
    </row>
    <row r="129" ht="15" customHeight="1" s="148">
      <c r="A129" s="133" t="inlineStr">
        <is>
          <t>1.甲方應按約定時間，準時與照顧人員交接受照顧者，逾時及臨時延時照顧時，應依前開約定支付費用。</t>
        </is>
      </c>
    </row>
    <row r="130" ht="25.35" customHeight="1" s="148">
      <c r="A130" s="133" t="inlineStr">
        <is>
          <t>2.委託人應提供受照顧者照顧期間所需之活動、飲食、就寢…等照顧必要之用品。孩童必需品耗盡而委託人未補給時，服務人員需先告知委託人提早添購備用。</t>
        </is>
      </c>
    </row>
    <row r="131" ht="25.35" customHeight="1" s="148">
      <c r="A131" s="133" t="inlineStr">
        <is>
          <t>3.委託人應將產婦及新生嬰兒之身心健康狀況及應注意事項，預先告知照顧人員，並提供必需之藥物、器材及使用之方法。如委託人應告知而未告知時，如發生任何傷害，概由委託人自行負責。受照顧者身體狀況如下：(如無告知或填寫,依照正常身體狀況照顧)</t>
        </is>
      </c>
    </row>
    <row r="132" ht="15" customHeight="1" s="148">
      <c r="A132" s="134" t="inlineStr">
        <is>
          <t>★★有無過敏體質：□無□有，何種狀況：換季過敏.流鼻水</t>
        </is>
      </c>
      <c r="B132" s="291" t="n"/>
      <c r="C132" s="291" t="n"/>
      <c r="D132" s="291" t="n"/>
      <c r="E132" s="291" t="inlineStr">
        <is>
          <t>★★過敏類別：</t>
        </is>
      </c>
      <c r="F132" s="291" t="n"/>
      <c r="G132" s="291" t="n"/>
    </row>
    <row r="133" ht="15" customHeight="1" s="148">
      <c r="A133" s="134" t="inlineStr">
        <is>
          <t>食物:                          □藥物：                □動物□花粉□塵蟎□其他＿＿＿＿＿＿＿＿＿＿＿</t>
        </is>
      </c>
      <c r="B133" s="291" t="n"/>
      <c r="C133" s="291" t="n"/>
      <c r="D133" s="291" t="n"/>
      <c r="E133" s="291" t="n"/>
      <c r="F133" s="291" t="n"/>
      <c r="G133" s="291" t="n"/>
    </row>
    <row r="134" ht="15" customHeight="1" s="148">
      <c r="A134" s="296" t="inlineStr">
        <is>
          <t>★★有無下列疾病或狀況： ◆健保手冊應置於家中以供使用◆</t>
        </is>
      </c>
      <c r="B134" s="296" t="n"/>
      <c r="C134" s="296" t="n"/>
      <c r="D134" s="296" t="n"/>
      <c r="E134" s="296" t="n"/>
      <c r="F134" s="296" t="n"/>
      <c r="G134" s="296" t="n"/>
    </row>
    <row r="135" ht="25.35" customHeight="1" s="148">
      <c r="A135" s="133" t="inlineStr">
        <is>
          <t xml:space="preserve">□有(□氣喘 □癲癎 □蠶豆症□心臟病□蕁麻疹□慢性支氣管炎 □異位性皮膚炎□熱性痙攣□慢性中耳炎□唐氏症 □早產 □腦性麻痺£發展遲緩□自閉症 □過動 □聽 □視障 □其他：　　　　　　　　　　  　　照護應注意事項：                          </t>
        </is>
      </c>
    </row>
    <row r="136" ht="15" customHeight="1" s="148">
      <c r="A136" s="134" t="inlineStr">
        <is>
          <t xml:space="preserve">特殊飲食習慣：□無　□有:                                                          </t>
        </is>
      </c>
    </row>
    <row r="137" ht="15" customHeight="1" s="148">
      <c r="A137" s="134" t="inlineStr">
        <is>
          <t xml:space="preserve">4.曾接外科手術□無 □有，病名：                        照護須注意事項：   　        </t>
        </is>
      </c>
      <c r="B137" s="291" t="n"/>
      <c r="C137" s="291" t="n"/>
      <c r="D137" s="291" t="n"/>
      <c r="E137" s="291" t="n"/>
      <c r="F137" s="291" t="n"/>
      <c r="G137" s="291" t="n"/>
    </row>
    <row r="138" ht="15" customHeight="1" s="148">
      <c r="A138" s="134" t="inlineStr">
        <is>
          <t>其他應注意的健康狀況：</t>
        </is>
      </c>
      <c r="B138" s="291" t="n"/>
      <c r="C138" s="298" t="inlineStr">
        <is>
          <t>產前憂鬱症□無  □有</t>
        </is>
      </c>
      <c r="D138" s="298" t="n"/>
      <c r="E138" s="291" t="n"/>
      <c r="F138" s="291" t="n"/>
      <c r="G138" s="291" t="n"/>
    </row>
    <row r="139" ht="15" customHeight="1" s="148">
      <c r="A139" s="134" t="inlineStr">
        <is>
          <t>委託人保證以下事項：</t>
        </is>
      </c>
      <c r="B139" s="291" t="n"/>
      <c r="C139" s="291" t="n"/>
      <c r="D139" s="291" t="n"/>
      <c r="E139" s="291" t="n"/>
      <c r="F139" s="291" t="n"/>
      <c r="G139" s="291" t="n"/>
    </row>
    <row r="140" ht="15" customHeight="1" s="148">
      <c r="A140" s="134" t="inlineStr">
        <is>
          <t>★★對受託兒童有親權或監護權。</t>
        </is>
      </c>
      <c r="B140" s="291" t="n"/>
      <c r="C140" s="291" t="inlineStr">
        <is>
          <t>★★妥善保護照顧人員個人資料不外洩。</t>
        </is>
      </c>
      <c r="D140" s="291" t="n"/>
      <c r="E140" s="291" t="n"/>
      <c r="F140" s="291" t="n"/>
      <c r="G140" s="291" t="n"/>
    </row>
    <row r="141" ht="15" customHeight="1" s="148">
      <c r="A141" s="134" t="inlineStr">
        <is>
          <t>★★與受照顧者之關係為，如有改變，應立即通知照顧人員。</t>
        </is>
      </c>
      <c r="B141" s="291" t="n"/>
      <c r="C141" s="291" t="n"/>
      <c r="D141" s="291" t="n"/>
      <c r="E141" s="291" t="n"/>
      <c r="F141" s="291" t="n"/>
      <c r="G141" s="291" t="n"/>
    </row>
    <row r="142" ht="15" customHeight="1" s="148">
      <c r="A142" s="134" t="inlineStr">
        <is>
          <t>★★同住家人無傳染性疾病、精神疾病、暴力傷害傾向。</t>
        </is>
      </c>
      <c r="B142" s="291" t="n"/>
      <c r="C142" s="291" t="n"/>
      <c r="D142" s="291" t="n"/>
      <c r="E142" s="291" t="n"/>
      <c r="F142" s="291" t="n"/>
      <c r="G142" s="291" t="n"/>
    </row>
    <row r="143" ht="15" customHeight="1" s="148">
      <c r="A143" s="131" t="inlineStr">
        <is>
          <t xml:space="preserve">5.為使照顧品質提高，且是月子照顧期間的依據，甲方有義務協助填寫ＢＡＢＹ　生活記錄表　</t>
        </is>
      </c>
      <c r="B143" s="291" t="n"/>
      <c r="C143" s="291" t="n"/>
      <c r="D143" s="291" t="n"/>
      <c r="E143" s="291" t="n"/>
      <c r="F143" s="291" t="n"/>
      <c r="G143" s="291" t="n"/>
    </row>
    <row r="144" ht="15" customHeight="1" s="148">
      <c r="A144" s="131" t="inlineStr">
        <is>
          <t>6.服務人員於廚房作業期間，甲方應提供通風良好的工作環境，以維護人員安全與作業品質。</t>
        </is>
      </c>
      <c r="B144" s="291" t="n"/>
      <c r="C144" s="291" t="n"/>
      <c r="D144" s="291" t="n"/>
      <c r="E144" s="291" t="n"/>
      <c r="F144" s="291" t="n"/>
      <c r="G144" s="291" t="n"/>
    </row>
    <row r="145" ht="15" customHeight="1" s="148">
      <c r="A145" s="10" t="inlineStr">
        <is>
          <t>七、委託之報酬費用及解約費用：</t>
        </is>
      </c>
      <c r="B145" s="150" t="n"/>
      <c r="C145" s="150" t="n"/>
      <c r="D145" s="150" t="n"/>
      <c r="E145" s="150" t="n"/>
      <c r="F145" s="150" t="n"/>
      <c r="G145" s="150" t="n"/>
    </row>
    <row r="146" ht="25.35" customHeight="1" s="148">
      <c r="A146" s="137" t="inlineStr">
        <is>
          <t>1.如有加班時，每一小時以$400元計算下班時間超過半小時,以1個小時費用計算)計算方式:下班時間超過15分鐘計薪半小時,超過30分鐘以1個小時費用計算 。(依照寶寶日誌為主)</t>
        </is>
      </c>
    </row>
    <row r="147" ht="15" customHeight="1" s="148">
      <c r="A147" s="287" t="inlineStr">
        <is>
          <t>2.若服務人員有遲到或是早退之情形，甲方可要求彈性延後補足服務時數。</t>
        </is>
      </c>
    </row>
    <row r="148" ht="37.3" customHeight="1" s="148">
      <c r="A148" s="287" t="inlineStr">
        <is>
          <t>3.若解約或工作期未至合約期滿，甲方即要求停止或終止服務時，訂金則以將依照第十條退費原則為基準。工作期間，如因甲方個人因素而終止契約，訂金不予退回且甲方需支付合約期間費用,補助款依照服務日申請如產生差額須雇主全額負擔：計算方式如下:單天價格乘以0.5倍乘以未滿工作天數來計算，並於解除合約當日付清費用。(此條款會依實際狀況協議甲乙雙方)</t>
        </is>
      </c>
    </row>
    <row r="149" ht="15" customHeight="1" s="148">
      <c r="A149" s="287" t="inlineStr">
        <is>
          <t>4.若工作期未滿即要求終止服務，若因服務人員個人因素及行為不當下終止契約，工會調派其他服務人員到府接替，另訂契約至期滿為止</t>
        </is>
      </c>
    </row>
    <row r="150" ht="15" customHeight="1" s="148">
      <c r="A150" s="287" t="inlineStr">
        <is>
          <t>5.付費方式採用分期付款方式，若該付款當日未收到款項，會先以簡訊提醒，若隔2日後仍未收到款項服務人員將會先行撤出，敬請原諒。</t>
        </is>
      </c>
    </row>
    <row r="151" ht="15" customHeight="1" s="148">
      <c r="A151" s="287" t="inlineStr">
        <is>
          <t>6.若服務人員請假(除不可抗拒之情事)應於提前7日告知甲方及工會，甲方如需代班人員工會調派替代服務人員</t>
        </is>
      </c>
    </row>
    <row r="152" ht="15" customHeight="1" s="148">
      <c r="A152" s="18" t="inlineStr">
        <is>
          <t>八、乙方餐食及休憩時間：乙方於8小時服務期間內午休息30分鐘,午餐由雇主負擔</t>
        </is>
      </c>
      <c r="B152" s="150" t="n"/>
      <c r="C152" s="150" t="n"/>
      <c r="D152" s="150" t="n"/>
      <c r="E152" s="150" t="n"/>
      <c r="F152" s="150" t="n"/>
      <c r="G152" s="150" t="n"/>
    </row>
    <row r="153" ht="15" customHeight="1" s="148">
      <c r="A153" s="18" t="inlineStr">
        <is>
          <t>九、緊急事故與處理：</t>
        </is>
      </c>
      <c r="B153" s="150" t="n"/>
      <c r="C153" s="150" t="n"/>
      <c r="D153" s="150" t="n"/>
      <c r="E153" s="150" t="n"/>
      <c r="F153" s="150" t="n"/>
      <c r="G153" s="150" t="n"/>
    </row>
    <row r="154" ht="15" customHeight="1" s="148">
      <c r="A154" s="287" t="inlineStr">
        <is>
          <t>1.如遇急症、重病或意外事件時，乙方應立即予以適當救護或處理，並應立即撥打119求救同時通知甲方之緊急聯絡人。</t>
        </is>
      </c>
    </row>
    <row r="155" ht="15" customHeight="1" s="148">
      <c r="A155" s="287" t="inlineStr">
        <is>
          <t>2.無法及時通知或無法連繫時，乙方應先依甲方之最佳利益作必要之處理，並繼續前項之緊急聯絡。</t>
        </is>
      </c>
    </row>
    <row r="156" ht="15" customHeight="1" s="148">
      <c r="A156" s="287" t="inlineStr">
        <is>
          <t>3.如有送醫治療時，應優先送往下列甲方所指定之醫院就醫診治。委託人指定之醫院如下：</t>
        </is>
      </c>
    </row>
    <row r="157" ht="15" customHeight="1" s="148">
      <c r="A157" s="84" t="inlineStr">
        <is>
          <t xml:space="preserve">甲方緊急聯絡人:                    電話:                 醫院 : ＿＿＿＿＿＿＿＿＿＿                   </t>
        </is>
      </c>
      <c r="B157" s="150" t="n"/>
      <c r="C157" s="150" t="n"/>
      <c r="D157" s="150" t="n"/>
      <c r="E157" s="150" t="n"/>
      <c r="F157" s="150" t="n"/>
      <c r="G157" s="150" t="n"/>
    </row>
    <row r="158" ht="15" customHeight="1" s="148">
      <c r="A158" s="84" t="inlineStr">
        <is>
          <t>前項所衍生之費用，除因可歸責於乙方事由所生事故外，全部費用應由甲方負擔。</t>
        </is>
      </c>
      <c r="B158" s="150" t="n"/>
      <c r="C158" s="150" t="n"/>
      <c r="D158" s="150" t="n"/>
      <c r="E158" s="150" t="n"/>
      <c r="F158" s="150" t="n"/>
      <c r="G158" s="150" t="n"/>
    </row>
    <row r="159" ht="15" customHeight="1" s="148">
      <c r="A159" s="84" t="inlineStr">
        <is>
          <t>乙方應提供緊急聯絡電話或緊急聯絡人給甲方以利於委任期間所發生事故時緊急聯絡；</t>
        </is>
      </c>
      <c r="B159" s="150" t="n"/>
      <c r="C159" s="150" t="n"/>
      <c r="D159" s="150" t="n"/>
      <c r="E159" s="150" t="n"/>
      <c r="F159" s="150" t="n"/>
      <c r="G159" s="150" t="n"/>
    </row>
    <row r="160" ht="15" customHeight="1" s="148">
      <c r="A160" s="287" t="inlineStr">
        <is>
          <t>4.乙方服務人員應於委任簽訂契約時,提供健康檢查之證明，及相關證照和身分證明文件核對。</t>
        </is>
      </c>
    </row>
    <row r="161" ht="25.35" customHeight="1" s="148">
      <c r="A161" s="287" t="inlineStr">
        <is>
          <t>5.乙方服務人員工作期間可能使用到的相關廚具及機器，甲方應先行教導使用方式。甲方應將貴重之廚房用品以及餐盤收置妥當，而乙方服務人員在使用上應愛惜小心，在提供的服務資源用品上以不浪費為前提做為使用。</t>
        </is>
      </c>
    </row>
    <row r="162" ht="25.35" customHeight="1" s="148">
      <c r="A162" s="287" t="inlineStr">
        <is>
          <t>6.如乙方服務人員在照護產婦與嬰兒工作期間造成物品之受損，係因服務人員使用不當而導致損壞時，應由服務人員依購入時間使用期限折舊後價格1/3~2/3之金額作為賠償，若是正常使用下毀損時，為商品老舊之損壞，則無須賠償。如有爭議甲乙雙方逕送新竹市調解委員會調解。</t>
        </is>
      </c>
    </row>
    <row r="163" ht="15" customHeight="1" s="148">
      <c r="A163" s="18" t="inlineStr">
        <is>
          <t>十、注意事項</t>
        </is>
      </c>
      <c r="B163" s="150" t="n"/>
      <c r="C163" s="150" t="n"/>
      <c r="D163" s="150" t="n"/>
      <c r="E163" s="150" t="n"/>
      <c r="F163" s="150" t="n"/>
      <c r="G163" s="150" t="n"/>
    </row>
    <row r="164" ht="35.05" customHeight="1" s="148">
      <c r="A164" s="138" t="inlineStr">
        <is>
          <t>1.因預產期為預估生產日期，而非必定可服務日期，故若有提前或延後生產時，預定之服務人員無法入場服務，工會應盡力先行派員協助支援，待預定服務人員可以開始服務時，便立刻工作交接。若無人力可支援協助時，煩請甲方先行安排產後返家照顧事宜，如委託人(甲方)選擇終止契約服務，則以第九條退費原則為基準。</t>
        </is>
      </c>
    </row>
    <row r="165" ht="23.85" customHeight="1" s="148">
      <c r="A165" s="138" t="inlineStr">
        <is>
          <t>2.如遇委託人(甲方)與乙方服務人員(乙方)雙方無法適應時，工會將依照委託人(甲方)或服務人員(乙方)意願提供更換人員。人員更換後將無法保障優先挑選人員權。</t>
        </is>
      </c>
    </row>
    <row r="166" ht="15" customHeight="1" s="148">
      <c r="A166" s="138" t="inlineStr">
        <is>
          <t>3.更換服務人員原則，工會保障優先預訂委託人保有整個段落都由同一人員服務，但若提早2星期生產或產後才延後入場時間超過7天則不在此限。</t>
        </is>
      </c>
    </row>
    <row r="167" ht="15" customHeight="1" s="148">
      <c r="A167" s="138" t="inlineStr">
        <is>
          <t>4.請於待產時(生產日)便告知入院生產工會需3天時間做人員的投保勿於出院當日或前一日才告知要進場服務。</t>
        </is>
      </c>
    </row>
    <row r="168" ht="23.85" customHeight="1" s="148">
      <c r="A168" s="138" t="inlineStr">
        <is>
          <t>5.若於合約期間更改服務地點與服務方式，工會將無法保證有服務人員可以提供服務，若因無服務人員可以前往而需退還訂金，將依照第十條訂金退費原則辦理，請於訂金退費期限之前告知。</t>
        </is>
      </c>
    </row>
    <row r="169" ht="23.85" customHeight="1" s="148">
      <c r="A169" s="138" t="inlineStr">
        <is>
          <t>6.服務的滿意度偏屬於個人的主觀意識，若服務人員個人不當行為而與雇主相處無法適應時，經調解還尚未改善(至少一周)工會應將會媒合其他人員替換。</t>
        </is>
      </c>
    </row>
    <row r="170" ht="15" customHeight="1" s="148">
      <c r="A170" s="138" t="inlineStr">
        <is>
          <t xml:space="preserve">7.如遇縣市政府公告颱風放颱風假， 因考量乙方服務人員的安全, 則依公告放假。如遇大風  大雨，考量乙方服務人員安全，亦雙方協議放假。   </t>
        </is>
      </c>
    </row>
    <row r="171" ht="35.05" customHeight="1" s="148">
      <c r="A171" s="139" t="inlineStr">
        <is>
          <t>8.禁止獨留月子服務人員
▸ 雇主不可在服務期間將「到府月嫂」與新生兒單獨留在家中。
▸ 違規者服務人員依規立即通報並終止服務，且政府補助資格將被取消。</t>
        </is>
      </c>
    </row>
    <row r="172" ht="23.85" customHeight="1" s="148">
      <c r="A172" s="139" t="inlineStr">
        <is>
          <t>9.夏季天氣炎熱，為保障服務人員的健康與安全及服務人員出現中暑情況，敬請各位雇主協助配合，請將工作場所空調溫度恆溫在29度以下，並搭配循環風扇使用，以促進空氣流通、有效降溫。</t>
        </is>
      </c>
    </row>
    <row r="173" ht="15" customHeight="1" s="148">
      <c r="A173" s="242" t="inlineStr">
        <is>
          <t>十、訂金退費原則：</t>
        </is>
      </c>
      <c r="B173" s="150" t="n"/>
      <c r="C173" s="150" t="n"/>
      <c r="D173" s="150" t="n"/>
      <c r="E173" s="150" t="n"/>
      <c r="F173" s="150" t="n"/>
      <c r="G173" s="150" t="n"/>
    </row>
    <row r="174" ht="15" customHeight="1" s="148">
      <c r="A174" s="10" t="inlineStr">
        <is>
          <t>1.   付訂10日內如有個人因素要取消合約，甲方需負擔10%手續費用,訂金餘款退回且取消補助款資格。</t>
        </is>
      </c>
      <c r="B174" s="150" t="n"/>
      <c r="C174" s="150" t="n"/>
      <c r="D174" s="150" t="n"/>
      <c r="E174" s="150" t="n"/>
      <c r="F174" s="150" t="n"/>
      <c r="G174" s="150" t="n"/>
    </row>
    <row r="175" ht="15" customHeight="1" s="148">
      <c r="A175" s="159" t="inlineStr">
        <is>
          <t>2.   簽約10日後如因委託人(甲方)之個人因素，需於預產期前60天告知，可退回訂金50%且取消補助款資格。</t>
        </is>
      </c>
      <c r="B175" s="150" t="n"/>
      <c r="C175" s="150" t="n"/>
      <c r="D175" s="150" t="n"/>
      <c r="E175" s="150" t="n"/>
      <c r="F175" s="150" t="n"/>
      <c r="G175" s="150" t="n"/>
    </row>
    <row r="176" ht="15" customHeight="1" s="148">
      <c r="A176" s="159" t="inlineStr">
        <is>
          <t>3.   如因不可抗拒之因素，需提供醫生證明文件，可退回訂金全額。</t>
        </is>
      </c>
      <c r="B176" s="150" t="n"/>
      <c r="C176" s="150" t="n"/>
      <c r="D176" s="150" t="n"/>
      <c r="E176" s="150" t="n"/>
      <c r="F176" s="150" t="n"/>
      <c r="G176" s="150" t="n"/>
    </row>
    <row r="177" ht="25.35" customHeight="1" s="148">
      <c r="A177" s="140" t="inlineStr">
        <is>
          <t>以上，為合約內容，於乙方服務人員到府服務日開始生效。並於服務期間工會指導人員會不定期至雇主家查訪及客戶滿意度調查,工會會先與雇主聯絡查訪日期及告知到府指導人員姓名。</t>
        </is>
      </c>
    </row>
    <row r="178" ht="15" customHeight="1" s="148">
      <c r="A178" s="298" t="inlineStr">
        <is>
          <t>委託人(甲方)：</t>
        </is>
      </c>
      <c r="B178" s="141" t="inlineStr">
        <is>
          <t>客戶名稱(市府表單)</t>
        </is>
      </c>
      <c r="C178" s="304" t="n"/>
      <c r="D178" s="291" t="inlineStr">
        <is>
          <t xml:space="preserve"> (簽章) 電話： </t>
        </is>
      </c>
      <c r="E178" s="141" t="inlineStr">
        <is>
          <t>客戶電話(市府表單)</t>
        </is>
      </c>
      <c r="F178" s="291" t="n"/>
      <c r="G178" s="291" t="n"/>
    </row>
    <row r="179" ht="17.35" customHeight="1" s="148">
      <c r="A179" s="298" t="inlineStr">
        <is>
          <t>出生年月日：</t>
        </is>
      </c>
      <c r="B179" s="305" t="n"/>
      <c r="C179" s="291" t="inlineStr">
        <is>
          <t xml:space="preserve"> 身分證字號： </t>
        </is>
      </c>
      <c r="D179" s="306" t="n"/>
      <c r="E179" s="291" t="n"/>
      <c r="F179" s="291" t="n"/>
      <c r="G179" s="291" t="n"/>
    </row>
    <row r="180" ht="15" customHeight="1" s="148">
      <c r="A180" s="298" t="inlineStr">
        <is>
          <t>地址：</t>
        </is>
      </c>
      <c r="B180" s="145" t="inlineStr">
        <is>
          <t>地址(市府表單)</t>
        </is>
      </c>
      <c r="C180" s="291" t="n"/>
      <c r="D180" s="291" t="n"/>
      <c r="E180" s="291" t="n"/>
      <c r="F180" s="291" t="n"/>
      <c r="G180" s="291" t="n"/>
    </row>
    <row r="181" ht="38" customHeight="1" s="148">
      <c r="A181" s="298" t="inlineStr">
        <is>
          <t>服務人員(乙方)：</t>
        </is>
      </c>
      <c r="B181" s="310">
        <f>C10</f>
        <v/>
      </c>
      <c r="C181" s="314" t="n"/>
      <c r="D181" s="314" t="n"/>
      <c r="E181" s="315" t="inlineStr">
        <is>
          <t>（簽章）</t>
        </is>
      </c>
    </row>
    <row r="182" ht="15" customHeight="1" s="148">
      <c r="A182" s="159" t="inlineStr">
        <is>
          <t>媒合單位：新竹市月子照顧服務人員職業工會  地址: 新竹市東區北大路22號4樓之2</t>
        </is>
      </c>
      <c r="B182" s="150" t="n"/>
      <c r="C182" s="150" t="n"/>
      <c r="D182" s="150" t="n"/>
      <c r="E182" s="150" t="n"/>
      <c r="F182" s="150" t="n"/>
      <c r="G182" s="150" t="n"/>
    </row>
    <row r="183" ht="15" customHeight="1" s="148">
      <c r="A183" s="159" t="inlineStr">
        <is>
          <t>工會指導專員：_______ __________ (簽章)</t>
        </is>
      </c>
      <c r="B183" s="150" t="n"/>
      <c r="C183" s="150" t="n"/>
      <c r="D183" s="150" t="n"/>
      <c r="E183" s="150" t="n"/>
      <c r="F183" s="150" t="n"/>
      <c r="G183" s="150" t="n"/>
    </row>
    <row r="184" ht="15" customHeight="1" s="148">
      <c r="A184" s="159" t="inlineStr">
        <is>
          <t xml:space="preserve">電話：(03)526-5126  / 0936345183    LINE ID:5313176 </t>
        </is>
      </c>
      <c r="B184" s="150" t="n"/>
      <c r="C184" s="150" t="n"/>
      <c r="D184" s="150" t="n"/>
      <c r="E184" s="150" t="n"/>
      <c r="F184" s="150" t="n"/>
      <c r="G184" s="150" t="n"/>
    </row>
    <row r="185" ht="15" customHeight="1" s="148">
      <c r="A185" s="159" t="inlineStr">
        <is>
          <t xml:space="preserve">立約日期:  </t>
        </is>
      </c>
      <c r="B185" s="146" t="inlineStr">
        <is>
          <t>TODAY()</t>
        </is>
      </c>
      <c r="F185" s="150" t="n"/>
      <c r="G185" s="150" t="n"/>
    </row>
  </sheetData>
  <mergeCells count="116">
    <mergeCell ref="B42:D42"/>
    <mergeCell ref="C80:E80"/>
    <mergeCell ref="E40:G40"/>
    <mergeCell ref="A50:F50"/>
    <mergeCell ref="A88:B88"/>
    <mergeCell ref="C97:G97"/>
    <mergeCell ref="A117:G117"/>
    <mergeCell ref="A167:G167"/>
    <mergeCell ref="A169:G169"/>
    <mergeCell ref="C57:E57"/>
    <mergeCell ref="B123:G123"/>
    <mergeCell ref="C77:E77"/>
    <mergeCell ref="A51:F51"/>
    <mergeCell ref="A89:G89"/>
    <mergeCell ref="C91:G91"/>
    <mergeCell ref="C74:E74"/>
    <mergeCell ref="A136:G136"/>
    <mergeCell ref="D98:E98"/>
    <mergeCell ref="B43:D43"/>
    <mergeCell ref="A129:G129"/>
    <mergeCell ref="C101:G101"/>
    <mergeCell ref="E28:G28"/>
    <mergeCell ref="A116:G116"/>
    <mergeCell ref="F10:G10"/>
    <mergeCell ref="C75:E75"/>
    <mergeCell ref="A131:G131"/>
    <mergeCell ref="A156:G156"/>
    <mergeCell ref="A171:G171"/>
    <mergeCell ref="A165:G165"/>
    <mergeCell ref="C59:E59"/>
    <mergeCell ref="A115:G115"/>
    <mergeCell ref="A155:G155"/>
    <mergeCell ref="C103:G103"/>
    <mergeCell ref="C100:G100"/>
    <mergeCell ref="C61:E61"/>
    <mergeCell ref="C94:G94"/>
    <mergeCell ref="A148:G148"/>
    <mergeCell ref="C70:E70"/>
    <mergeCell ref="A166:G166"/>
    <mergeCell ref="C81:E81"/>
    <mergeCell ref="A119:G119"/>
    <mergeCell ref="A168:G168"/>
    <mergeCell ref="F31:G31"/>
    <mergeCell ref="B3:G3"/>
    <mergeCell ref="E181:G181"/>
    <mergeCell ref="B95:C95"/>
    <mergeCell ref="C79:E79"/>
    <mergeCell ref="C73:E73"/>
    <mergeCell ref="C63:E63"/>
    <mergeCell ref="C10:E10"/>
    <mergeCell ref="A32:G32"/>
    <mergeCell ref="C55:E55"/>
    <mergeCell ref="A106:G106"/>
    <mergeCell ref="B181:D181"/>
    <mergeCell ref="C104:G104"/>
    <mergeCell ref="E34:G34"/>
    <mergeCell ref="A147:G147"/>
    <mergeCell ref="A161:G161"/>
    <mergeCell ref="A26:F26"/>
    <mergeCell ref="D38:G38"/>
    <mergeCell ref="A170:G170"/>
    <mergeCell ref="B98:C98"/>
    <mergeCell ref="A130:G130"/>
    <mergeCell ref="B127:G127"/>
    <mergeCell ref="C99:G99"/>
    <mergeCell ref="B185:E185"/>
    <mergeCell ref="A66:E66"/>
    <mergeCell ref="A120:B120"/>
    <mergeCell ref="C72:E72"/>
    <mergeCell ref="A110:G110"/>
    <mergeCell ref="A146:G146"/>
    <mergeCell ref="A5:B5"/>
    <mergeCell ref="C69:E69"/>
    <mergeCell ref="A172:G172"/>
    <mergeCell ref="C39:C40"/>
    <mergeCell ref="D27:G27"/>
    <mergeCell ref="C62:E62"/>
    <mergeCell ref="A118:G118"/>
    <mergeCell ref="B121:G121"/>
    <mergeCell ref="A149:G149"/>
    <mergeCell ref="B122:G122"/>
    <mergeCell ref="A2:G2"/>
    <mergeCell ref="C64:E64"/>
    <mergeCell ref="A113:D113"/>
    <mergeCell ref="A151:G151"/>
    <mergeCell ref="F1:G1"/>
    <mergeCell ref="C96:G96"/>
    <mergeCell ref="A87:F87"/>
    <mergeCell ref="A160:G160"/>
    <mergeCell ref="C92:G92"/>
    <mergeCell ref="A135:G135"/>
    <mergeCell ref="A150:G150"/>
    <mergeCell ref="C56:E56"/>
    <mergeCell ref="C88:D88"/>
    <mergeCell ref="D95:E95"/>
    <mergeCell ref="C76:E76"/>
    <mergeCell ref="A114:G114"/>
    <mergeCell ref="C93:G93"/>
    <mergeCell ref="C82:E82"/>
    <mergeCell ref="F41:G41"/>
    <mergeCell ref="A107:G107"/>
    <mergeCell ref="B124:G124"/>
    <mergeCell ref="C90:G90"/>
    <mergeCell ref="A162:G162"/>
    <mergeCell ref="B4:G4"/>
    <mergeCell ref="B126:G126"/>
    <mergeCell ref="C68:E68"/>
    <mergeCell ref="C83:E83"/>
    <mergeCell ref="A177:G177"/>
    <mergeCell ref="A164:G164"/>
    <mergeCell ref="C58:E58"/>
    <mergeCell ref="B125:G125"/>
    <mergeCell ref="A154:G154"/>
    <mergeCell ref="E39:G39"/>
    <mergeCell ref="C102:G102"/>
    <mergeCell ref="C65:E65"/>
  </mergeCells>
  <printOptions horizontalCentered="0" verticalCentered="0" headings="0" gridLines="0" gridLinesSet="1"/>
  <pageMargins left="0.75" right="0.75" top="1" bottom="1" header="0.511811023622047" footer="0.511811023622047"/>
  <pageSetup orientation="portrait" paperSize="9"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zh-TW</dc:language>
  <dcterms:created xsi:type="dcterms:W3CDTF">2026-07-05T04:14:18Z</dcterms:created>
  <dcterms:modified xsi:type="dcterms:W3CDTF">2026-09-20T12:15:11Z</dcterms:modified>
  <cp:revision>1</cp:revision>
</cp:coreProperties>
</file>